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Points à clarifier" sheetId="2" state="visible" r:id="rId4"/>
    <sheet name="Pluvial – conduites" sheetId="3" state="visible" r:id="rId5"/>
    <sheet name="Structures" sheetId="4" state="visible" r:id="rId6"/>
    <sheet name="Sanitaire et aqueduc" sheetId="5" state="visible" r:id="rId7"/>
    <sheet name="Coupes de rue" sheetId="6" state="visible" r:id="rId8"/>
    <sheet name="Surfaces" sheetId="7" state="visible" r:id="rId9"/>
    <sheet name="Démolition" sheetId="8" state="visible" r:id="rId10"/>
    <sheet name="TBA vs PEHD" sheetId="9" state="visible" r:id="rId11"/>
    <sheet name="Paramètres" sheetId="10" state="visible" r:id="rId12"/>
  </sheets>
  <definedNames>
    <definedName function="false" hidden="false" localSheetId="5" name="_xlnm.Print_Titles" vbProcedure="false">'Coupes de rue'!$4:$4</definedName>
    <definedName function="false" hidden="false" localSheetId="7" name="_xlnm.Print_Titles" vbProcedure="false">Démolition!$4:$4</definedName>
    <definedName function="false" hidden="false" localSheetId="9" name="_xlnm.Print_Titles" vbProcedure="false">Paramètres!$4:$4</definedName>
    <definedName function="false" hidden="false" localSheetId="2" name="_xlnm.Print_Titles" vbProcedure="false">'Pluvial – conduites'!$4:$4</definedName>
    <definedName function="false" hidden="false" localSheetId="1" name="_xlnm.Print_Titles" vbProcedure="false">'Points à clarifier'!$4:$4</definedName>
    <definedName function="false" hidden="false" localSheetId="4" name="_xlnm.Print_Titles" vbProcedure="false">'Sanitaire et aqueduc'!$4:$4</definedName>
    <definedName function="false" hidden="false" localSheetId="0" name="_xlnm.Print_Titles" vbProcedure="false">Sommaire!$4:$5</definedName>
    <definedName function="false" hidden="false" localSheetId="3" name="_xlnm.Print_Titles" vbProcedure="false">Structures!$4:$4</definedName>
    <definedName function="false" hidden="false" localSheetId="6" name="_xlnm.Print_Titles" vbProcedure="false">Surfaces!$4:$4</definedName>
    <definedName function="false" hidden="false" localSheetId="8" name="_xlnm.Print_Titles" vbProcedure="false">'TBA vs PEHD'!$4:$4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<sst xmlns="http://schemas.openxmlformats.org/spreadsheetml/2006/main" count="800" uniqueCount="504">
  <si>
    <t xml:space="preserve">Take-off civil – Développement rue Gaumont, Bâtiment A (Laval)</t>
  </si>
  <si>
    <t xml:space="preserve">Plans : C1 et C2 de 2, dossier 21002-A (CLA Experts-Conseils), révision du 2026-10-02 · Préparé le 2026-10-13 pour William Dubreuil, directeur construction, Les Entreprises PEP2000 inc.</t>
  </si>
  <si>
    <t xml:space="preserve">Préliminaire – à vérifier. Bâtiment B (présent dans le DWG seulement) exclu.</t>
  </si>
  <si>
    <t xml:space="preserve">Poste</t>
  </si>
  <si>
    <t xml:space="preserve">Quantité</t>
  </si>
  <si>
    <t xml:space="preserve">Unité</t>
  </si>
  <si>
    <t xml:space="preserve">Détail</t>
  </si>
  <si>
    <t xml:space="preserve">Conduite pluviale 900 TBA classe IV</t>
  </si>
  <si>
    <t xml:space="preserve">m</t>
  </si>
  <si>
    <t xml:space="preserve">4 tronçons RP-6 → RP-2</t>
  </si>
  <si>
    <t xml:space="preserve">Conduite pluviale 450 PVC DR35</t>
  </si>
  <si>
    <t xml:space="preserve">RP-2 → RP-1</t>
  </si>
  <si>
    <t xml:space="preserve">Conduite pluviale 375 PVC DR35</t>
  </si>
  <si>
    <t xml:space="preserve">RP-1 → séparateur → existant</t>
  </si>
  <si>
    <t xml:space="preserve">Conduite pluviale 300 PVC DR35 (latéraux, toit)</t>
  </si>
  <si>
    <t xml:space="preserve">Conduite pluviale 200 PVC DR35</t>
  </si>
  <si>
    <t xml:space="preserve">P-11</t>
  </si>
  <si>
    <t xml:space="preserve">Drain PEHD perforé 200 (tranchée drainante)</t>
  </si>
  <si>
    <t xml:space="preserve">Estimé ; Wolseley en cote 370 m</t>
  </si>
  <si>
    <t xml:space="preserve">Regards pluviaux M-1600 (dont 1 avec régulateur)</t>
  </si>
  <si>
    <t xml:space="preserve">un.</t>
  </si>
  <si>
    <t xml:space="preserve">RP-1 à RP-6 (RP-3 à confirmer)</t>
  </si>
  <si>
    <t xml:space="preserve">Séparateur huile et sédiments</t>
  </si>
  <si>
    <t xml:space="preserve">Puisards Ø 1200 (bassins)</t>
  </si>
  <si>
    <t xml:space="preserve">Puisards P-1 (P-600)</t>
  </si>
  <si>
    <t xml:space="preserve">Regard sanitaire Ø 1200</t>
  </si>
  <si>
    <t xml:space="preserve">RS-1</t>
  </si>
  <si>
    <t xml:space="preserve">Branchement sanitaire 150 PVC DR28</t>
  </si>
  <si>
    <t xml:space="preserve">Branchement aqueduc 200 PVC DR18 (gicleurs + domestique)</t>
  </si>
  <si>
    <t xml:space="preserve">+ raccordement sous pression et chambre VRE</t>
  </si>
  <si>
    <t xml:space="preserve">Excavation de tranchée (théorique, parois verticales)</t>
  </si>
  <si>
    <t xml:space="preserve">m³</t>
  </si>
  <si>
    <t xml:space="preserve">Pluvial seulement</t>
  </si>
  <si>
    <t xml:space="preserve">Pierre d'assise et d'enrobage – pluvial</t>
  </si>
  <si>
    <t xml:space="preserve">Coupes de rue – pavage à refaire (rue Gaumont)</t>
  </si>
  <si>
    <t xml:space="preserve">m²</t>
  </si>
  <si>
    <t xml:space="preserve">2 coupes + bandes aux entrées</t>
  </si>
  <si>
    <t xml:space="preserve">Bordure surbaissée à refaire dans l'emprise</t>
  </si>
  <si>
    <t xml:space="preserve">Pavage lourd type A</t>
  </si>
  <si>
    <t xml:space="preserve">Ajusté au total de l'ingénieur</t>
  </si>
  <si>
    <t xml:space="preserve">Pavage léger (stationnement)</t>
  </si>
  <si>
    <t xml:space="preserve">Enrobé total</t>
  </si>
  <si>
    <t xml:space="preserve">t</t>
  </si>
  <si>
    <t xml:space="preserve">Pierre MG-20 (fondation)</t>
  </si>
  <si>
    <t xml:space="preserve">Pierre MG-56 (fondation)</t>
  </si>
  <si>
    <t xml:space="preserve">Bordure de béton (site)</t>
  </si>
  <si>
    <t xml:space="preserve">Trottoirs de béton</t>
  </si>
  <si>
    <t xml:space="preserve">Gazon en plaque</t>
  </si>
  <si>
    <t xml:space="preserve">Bassins de biorétention (aire d'infiltration)</t>
  </si>
  <si>
    <t xml:space="preserve">5 bassins</t>
  </si>
  <si>
    <t xml:space="preserve">Isolant rigide HI-40 (croisements + faible couvert)</t>
  </si>
  <si>
    <t xml:space="preserve">À clarifier</t>
  </si>
  <si>
    <t xml:space="preserve">Voir l'onglet « Points à clarifier » : 6 points à impact élevé avant de fixer le prix.</t>
  </si>
  <si>
    <t xml:space="preserve">Points à clarifier et questions pour l'appel d'offres</t>
  </si>
  <si>
    <t xml:space="preserve">Classés par impact sur le prix.</t>
  </si>
  <si>
    <t xml:space="preserve">#</t>
  </si>
  <si>
    <t xml:space="preserve">Impact</t>
  </si>
  <si>
    <t xml:space="preserve">Sujet</t>
  </si>
  <si>
    <t xml:space="preserve">Constat</t>
  </si>
  <si>
    <t xml:space="preserve">Question / action proposée</t>
  </si>
  <si>
    <t xml:space="preserve">Élevé</t>
  </si>
  <si>
    <t xml:space="preserve">Couvert de la 900Ø</t>
  </si>
  <si>
    <t xml:space="preserve">Entre RP-4 et RP-2, le couvert de la 900Ø (D – R – D ext.) n'est que de 0,43 à 0,69 m. C'est moins que l'épaisseur de la structure de chaussée lourde (700 mm) : la couronne empiète dans la fondation MG-56.</t>
  </si>
  <si>
    <t xml:space="preserve">Confirmer les radiers, la classe de TBA requise sous charge lourde et l'isolation (note 3.14 : pluvial &lt; 1,2 m de couvert → isolant, ≈ 305 m de 900Ø). Le tableau d'isolant ne couvre pas un couvert &lt; 600 mm.</t>
  </si>
  <si>
    <t xml:space="preserve">Bâtiment B dans le DWG</t>
  </si>
  <si>
    <t xml:space="preserve">Le fichier DWG contient aussi un 2e réseau au nord de la rue Gaumont (pluvial 900Ø ≈ 520 m, puisards, sanitaire 150 ≈ 45 m, aqueduc 200 ≈ 65 m) qui n'apparaît pas sur le PDF C1.</t>
  </si>
  <si>
    <t xml:space="preserve">Confirmer que la soumission couvre uniquement le bâtiment A (exclus du présent take-off).</t>
  </si>
  <si>
    <t xml:space="preserve">RP-3 indiqué M-900</t>
  </si>
  <si>
    <t xml:space="preserve">Un regard M-900 ne peut pas recevoir des conduites de 900 mm.</t>
  </si>
  <si>
    <t xml:space="preserve">Confirmer M-1600 (comme RP-2, RP-4, RP-5).</t>
  </si>
  <si>
    <t xml:space="preserve">Sanitaire – regard RS-1</t>
  </si>
  <si>
    <t xml:space="preserve">Le radier de RS-1 (R20,70) est plus haut que la sortie du bâtiment (R20,20), avec une profondeur de seulement 0,80 m, puis une chute d'environ 3,5 m vers R17,19 sur environ 8 m.</t>
  </si>
  <si>
    <t xml:space="preserve">Confirmer les élévations et préciser s'il faut un regard de chute ou un branchement en pente forte.</t>
  </si>
  <si>
    <t xml:space="preserve">Moyen</t>
  </si>
  <si>
    <t xml:space="preserve">Matériau 900Ø</t>
  </si>
  <si>
    <t xml:space="preserve">La note 2.2 exige du TBA classe IV pour le pluvial 900. Une option PEHD constitue une substitution.</t>
  </si>
  <si>
    <t xml:space="preserve">Obtenir l'approbation écrite de l'ingénieur avant de soumettre en PEHD (déformation, enrobage complet, volume de rétention).</t>
  </si>
  <si>
    <t xml:space="preserve">Raccordement aqueduc sous pression</t>
  </si>
  <si>
    <t xml:space="preserve">Chambre VRE modifiée 1165 × 1800 × 1800 et raccordement sous pression sur un 400 Hyprescon.</t>
  </si>
  <si>
    <t xml:space="preserve">Confirmer si le raccordement est exécuté par la Ville de Laval ou par l'entrepreneur, ainsi que les frais (note 1.9).</t>
  </si>
  <si>
    <t xml:space="preserve">Séparateur huile/sédiments</t>
  </si>
  <si>
    <t xml:space="preserve">Modèle non spécifié (40 % MES à 111,9 L/s).</t>
  </si>
  <si>
    <t xml:space="preserve">Demander le modèle de base et les équivalents acceptés.</t>
  </si>
  <si>
    <t xml:space="preserve">Régulateur RP-1</t>
  </si>
  <si>
    <t xml:space="preserve">Bouchon IPEX sur mesure, Q = 111,9 L/s à 1,563 m.</t>
  </si>
  <si>
    <t xml:space="preserve">Fourniture spéciale : obtenir le prix d'IPEX.</t>
  </si>
  <si>
    <t xml:space="preserve">Tranchée drainante</t>
  </si>
  <si>
    <t xml:space="preserve">Longueur non cotée (≈ 330 m estimés). Les éléments « D20,75 R20,65 », « D20,60 R19,15 » et « D20,60 R19,65 » le long de la bordure ne sont pas détaillés (puits de nettoyage ?).</t>
  </si>
  <si>
    <t xml:space="preserve">Préciser la longueur, les raccords et les ouvrages.</t>
  </si>
  <si>
    <t xml:space="preserve">Murets</t>
  </si>
  <si>
    <t xml:space="preserve">« Nouveau muret » et « muret ou talus » sans détail.</t>
  </si>
  <si>
    <t xml:space="preserve">Fournir le type, la hauteur et la longueur.</t>
  </si>
  <si>
    <t xml:space="preserve">Faible</t>
  </si>
  <si>
    <t xml:space="preserve">P-7</t>
  </si>
  <si>
    <t xml:space="preserve">D19,80 sous le fond du bassin centre-ouest (F20,20).</t>
  </si>
  <si>
    <t xml:space="preserve">Vérifier l'élévation (probablement 20,50).</t>
  </si>
  <si>
    <t xml:space="preserve">Conduites de toit</t>
  </si>
  <si>
    <t xml:space="preserve">Sorties 250Ø (R19,70), mais conduites étiquetées 300Ø (24,6 m et 24,8 m).</t>
  </si>
  <si>
    <t xml:space="preserve">Confirmer le diamètre et le réducteur.</t>
  </si>
  <si>
    <t xml:space="preserve">Trottoirs</t>
  </si>
  <si>
    <t xml:space="preserve">Le tableau de rétention indique 160,8 m², alors qu'on mesure ≈ 238 m² sur l'implantation.</t>
  </si>
  <si>
    <t xml:space="preserve">Confirmer la quantité.</t>
  </si>
  <si>
    <t xml:space="preserve">Puisards Ø 1200</t>
  </si>
  <si>
    <t xml:space="preserve">Le détail « raccordement des drains au puisard » montre un Ø 1200 pour les puisards des bassins.</t>
  </si>
  <si>
    <t xml:space="preserve">Confirmer quels puisards sont en Ø 1200 (hypothèse : P-1, P-04, P-7, P-9 et P-10).</t>
  </si>
  <si>
    <t xml:space="preserve">Électricité / éclairage</t>
  </si>
  <si>
    <t xml:space="preserve">Détails de bases de lampadaires et de conduits enfouis présents, mais aucune quantité.</t>
  </si>
  <si>
    <t xml:space="preserve">Plan électrique requis.</t>
  </si>
  <si>
    <t xml:space="preserve">Validité des prix</t>
  </si>
  <si>
    <t xml:space="preserve">Les prix de Lécuyer (4 sept. 2026) et du StormSettler (27 nov. 2025) ont dépassé leur validité de 30 jours. Wolseley (2 oct. 2026) reste valide jusqu'au 1er nov. 2026.</t>
  </si>
  <si>
    <t xml:space="preserve">Demander des prix à jour à Lécuyer avant la clôture.</t>
  </si>
  <si>
    <t xml:space="preserve">StormSettler – reconnaissance MELCC</t>
  </si>
  <si>
    <t xml:space="preserve">La fiche MELCC indique une vérification ETV valide jusqu'au 13 sept. 2026, une date déjà passée.</t>
  </si>
  <si>
    <t xml:space="preserve">Faire confirmer le renouvellement par Lécuyer, sinon l'unité risque d'être refusée.</t>
  </si>
  <si>
    <t xml:space="preserve">Aqueduc chez Wolseley</t>
  </si>
  <si>
    <t xml:space="preserve">Wolseley cote 12 m de PVCO C909 150 mm, alors que le plan montre un AQ 200 PVC DR18 (gicleurs et domestique). Le raccordement sous pression et les vannes ne sont pas cotés.</t>
  </si>
  <si>
    <t xml:space="preserve">Demander à Wolseley de recoter en 200 DR18 avec les pièces du raccordement sous pression.</t>
  </si>
  <si>
    <t xml:space="preserve">RP-1 coté M-1200</t>
  </si>
  <si>
    <t xml:space="preserve">Lécuyer cote RP-1 en M-1200, alors que le plan exige un M-1600 avec régulateur.</t>
  </si>
  <si>
    <t xml:space="preserve">Faire recoter en M-1600 (≈ +3 000 $).</t>
  </si>
  <si>
    <t xml:space="preserve">Puisards chez Wolseley</t>
  </si>
  <si>
    <t xml:space="preserve">L'option PEHD cote 10 puisards pour 11 au plan (P-1 à P-11).</t>
  </si>
  <si>
    <t xml:space="preserve">Ajouter le 11e.</t>
  </si>
  <si>
    <t xml:space="preserve">Drains sous la sortie des puisards</t>
  </si>
  <si>
    <t xml:space="preserve">Lécuyer : « raccordement des drains en dessous de la conduite de sortie de 300 mm impossible » (puisards des bassins, Re &lt; Rs). Pour P-7, Lécuyer a abaissé le radier à 18,77 au lieu de 19,075.</t>
  </si>
  <si>
    <t xml:space="preserve">Faire valider par l'ingénieur.</t>
  </si>
  <si>
    <t xml:space="preserve">Couleur DR28</t>
  </si>
  <si>
    <t xml:space="preserve">Wolseley cote du DR28 blanc ; la note 2.2 exige du DR28 noir pour le sanitaire.</t>
  </si>
  <si>
    <t xml:space="preserve">Confirmer.</t>
  </si>
  <si>
    <t xml:space="preserve">Info</t>
  </si>
  <si>
    <t xml:space="preserve">Statut des plans</t>
  </si>
  <si>
    <t xml:space="preserve">Note 1.1 : obtenir les plans « émis pour construction ».</t>
  </si>
  <si>
    <t xml:space="preserve">Confirmer la révision de soumission (C1/C2 datés du 2026-10-02).</t>
  </si>
  <si>
    <t xml:space="preserve">Égout pluvial – conduites</t>
  </si>
  <si>
    <t xml:space="preserve">Longueurs = étiquettes de l'ingénieur (C1) ; regards c/c. Profondeur = D – R moyen. Excavation théorique à parois verticales (pentes CNESST en sus).</t>
  </si>
  <si>
    <t xml:space="preserve">Tronçon</t>
  </si>
  <si>
    <t xml:space="preserve">De</t>
  </si>
  <si>
    <t xml:space="preserve">À</t>
  </si>
  <si>
    <t xml:space="preserve">Ø (mm)</t>
  </si>
  <si>
    <t xml:space="preserve">Matériau (note C2 2.2)</t>
  </si>
  <si>
    <t xml:space="preserve">Longueur (m)</t>
  </si>
  <si>
    <t xml:space="preserve">Pente</t>
  </si>
  <si>
    <t xml:space="preserve">Prof. amont D-R (m)</t>
  </si>
  <si>
    <t xml:space="preserve">Prof. aval D-R (m)</t>
  </si>
  <si>
    <t xml:space="preserve">Prof. moy. (m)</t>
  </si>
  <si>
    <t xml:space="preserve">D ext. (m)</t>
  </si>
  <si>
    <t xml:space="preserve">Larg. tranchée (m)</t>
  </si>
  <si>
    <t xml:space="preserve">Excavation (m³)</t>
  </si>
  <si>
    <t xml:space="preserve">Pierre assise+enrobage (m³)</t>
  </si>
  <si>
    <t xml:space="preserve">Source</t>
  </si>
  <si>
    <t xml:space="preserve">Remarque</t>
  </si>
  <si>
    <t xml:space="preserve">PL-1</t>
  </si>
  <si>
    <t xml:space="preserve">RP-6</t>
  </si>
  <si>
    <t xml:space="preserve">RP-5</t>
  </si>
  <si>
    <t xml:space="preserve">TBA classe IV</t>
  </si>
  <si>
    <t xml:space="preserve">PDF C1 (étiquette ingénieur)</t>
  </si>
  <si>
    <t xml:space="preserve">Conduite de rétention</t>
  </si>
  <si>
    <t xml:space="preserve">PL-2</t>
  </si>
  <si>
    <t xml:space="preserve">RP-4</t>
  </si>
  <si>
    <t xml:space="preserve">PL-3</t>
  </si>
  <si>
    <t xml:space="preserve">RP-3</t>
  </si>
  <si>
    <t xml:space="preserve">Couvert &lt; 1,2 m – voir Points à clarifier</t>
  </si>
  <si>
    <t xml:space="preserve">PL-4</t>
  </si>
  <si>
    <t xml:space="preserve">RP-2</t>
  </si>
  <si>
    <t xml:space="preserve">Couvert ≈ 0,4–0,7 m – voir Points à clarifier</t>
  </si>
  <si>
    <t xml:space="preserve">PL-5</t>
  </si>
  <si>
    <t xml:space="preserve">RP-1</t>
  </si>
  <si>
    <t xml:space="preserve">PVC DR35</t>
  </si>
  <si>
    <t xml:space="preserve">450 mm : PVC DR35 selon note 2.2 (200 à 450 mm)</t>
  </si>
  <si>
    <t xml:space="preserve">PL-6</t>
  </si>
  <si>
    <t xml:space="preserve">Séparateur</t>
  </si>
  <si>
    <t xml:space="preserve">Sortie régulée 111,9 L/s</t>
  </si>
  <si>
    <t xml:space="preserve">PL-7</t>
  </si>
  <si>
    <t xml:space="preserve">Exist. 600 TBA</t>
  </si>
  <si>
    <t xml:space="preserve">Raccordement sur pluvial 600 TBA existant R±18,11 – coupe de rue CR-2</t>
  </si>
  <si>
    <t xml:space="preserve">LT-1</t>
  </si>
  <si>
    <t xml:space="preserve">Bassin ouest</t>
  </si>
  <si>
    <t xml:space="preserve">Prof. estimées</t>
  </si>
  <si>
    <t xml:space="preserve">LT-2</t>
  </si>
  <si>
    <t xml:space="preserve">P-10</t>
  </si>
  <si>
    <t xml:space="preserve">LT-3</t>
  </si>
  <si>
    <t xml:space="preserve">P-9</t>
  </si>
  <si>
    <t xml:space="preserve">900 (PL-1)</t>
  </si>
  <si>
    <t xml:space="preserve">Raccord direct sur la 900 (té / selle) – confirmer</t>
  </si>
  <si>
    <t xml:space="preserve">LT-4</t>
  </si>
  <si>
    <t xml:space="preserve">Sortie toit 250 (ouest)</t>
  </si>
  <si>
    <t xml:space="preserve">900 (PL-2)</t>
  </si>
  <si>
    <t xml:space="preserve">Sortie bâtiment 250Ø R19,70 – étiquette 300Ø ; réducteur à prévoir</t>
  </si>
  <si>
    <t xml:space="preserve">LT-5</t>
  </si>
  <si>
    <t xml:space="preserve">Vérifier D19,80 de P-7</t>
  </si>
  <si>
    <t xml:space="preserve">LT-6</t>
  </si>
  <si>
    <t xml:space="preserve">P-6</t>
  </si>
  <si>
    <t xml:space="preserve">900 (PL-3)</t>
  </si>
  <si>
    <t xml:space="preserve">LT-7</t>
  </si>
  <si>
    <t xml:space="preserve">P-5</t>
  </si>
  <si>
    <t xml:space="preserve">LT-8</t>
  </si>
  <si>
    <t xml:space="preserve">Sortie toit 250 (est)</t>
  </si>
  <si>
    <t xml:space="preserve">Sortie bâtiment 250Ø R19,70 – étiquette 300Ø</t>
  </si>
  <si>
    <t xml:space="preserve">LT-9</t>
  </si>
  <si>
    <t xml:space="preserve">P-04</t>
  </si>
  <si>
    <t xml:space="preserve">LT-10</t>
  </si>
  <si>
    <t xml:space="preserve">P-3</t>
  </si>
  <si>
    <t xml:space="preserve">LT-11</t>
  </si>
  <si>
    <t xml:space="preserve">P-1</t>
  </si>
  <si>
    <t xml:space="preserve">PL-5 (450)</t>
  </si>
  <si>
    <t xml:space="preserve">LT-12</t>
  </si>
  <si>
    <t xml:space="preserve">P-2</t>
  </si>
  <si>
    <t xml:space="preserve">Estimé – à valider</t>
  </si>
  <si>
    <t xml:space="preserve">Puisard sur la ligne – raccord court estimé</t>
  </si>
  <si>
    <t xml:space="preserve">LT-13</t>
  </si>
  <si>
    <t xml:space="preserve">P-8</t>
  </si>
  <si>
    <t xml:space="preserve">PL-2 (900)</t>
  </si>
  <si>
    <t xml:space="preserve">DR-1</t>
  </si>
  <si>
    <t xml:space="preserve">Réseau</t>
  </si>
  <si>
    <t xml:space="preserve">Drain PEHD perforé 200Ø</t>
  </si>
  <si>
    <t xml:space="preserve">Le long de la bordure sud (RP-5 → RP-2) ; longueur non cotée – voir Surfaces</t>
  </si>
  <si>
    <t xml:space="preserve">TOTAL</t>
  </si>
  <si>
    <t xml:space="preserve">Sous-totaux par diamètre / matériau</t>
  </si>
  <si>
    <t xml:space="preserve">900 TBA classe IV</t>
  </si>
  <si>
    <t xml:space="preserve">450 PVC DR35</t>
  </si>
  <si>
    <t xml:space="preserve">375 PVC DR35</t>
  </si>
  <si>
    <t xml:space="preserve">300 PVC DR35</t>
  </si>
  <si>
    <t xml:space="preserve">200 PVC DR35</t>
  </si>
  <si>
    <t xml:space="preserve">Regards, puisards et ouvrages</t>
  </si>
  <si>
    <t xml:space="preserve">D = dessus (couvercle/grille), R = radier, Re/Rs = radier entrée/sortie, F = fond. Profondeur = D – R (ou D – F pour les puisards).</t>
  </si>
  <si>
    <t xml:space="preserve">No</t>
  </si>
  <si>
    <t xml:space="preserve">Type</t>
  </si>
  <si>
    <t xml:space="preserve">Modèle / diamètre</t>
  </si>
  <si>
    <t xml:space="preserve">D (m)</t>
  </si>
  <si>
    <t xml:space="preserve">R / Rs (m)</t>
  </si>
  <si>
    <t xml:space="preserve">Re (m)</t>
  </si>
  <si>
    <t xml:space="preserve">F (m)</t>
  </si>
  <si>
    <t xml:space="preserve">Profondeur (m)</t>
  </si>
  <si>
    <t xml:space="preserve">Qté</t>
  </si>
  <si>
    <t xml:space="preserve">Regard pluvial avec régulateur</t>
  </si>
  <si>
    <t xml:space="preserve">M-1600 + régulateur type bouchon IPEX sur mesure</t>
  </si>
  <si>
    <t xml:space="preserve">Q = 111,9 L/s à 1,563 m ; sortie 375Ø</t>
  </si>
  <si>
    <t xml:space="preserve">Regard pluvial</t>
  </si>
  <si>
    <t xml:space="preserve">M-1600</t>
  </si>
  <si>
    <t xml:space="preserve">Couvert 900Ø ≈ 0,43 m</t>
  </si>
  <si>
    <t xml:space="preserve">M-900 (indiqué)</t>
  </si>
  <si>
    <t xml:space="preserve">⚠ M-900 incompatible avec 900Ø – probablement M-1600</t>
  </si>
  <si>
    <t xml:space="preserve">Rs 19,63 / Re 20,50</t>
  </si>
  <si>
    <t xml:space="preserve">SEP-1</t>
  </si>
  <si>
    <t xml:space="preserve">À préciser (40 % MES à 111,9 L/s)</t>
  </si>
  <si>
    <t xml:space="preserve">Modèle non spécifié</t>
  </si>
  <si>
    <t xml:space="preserve">Puisard avec grille bombée (bassin est)</t>
  </si>
  <si>
    <t xml:space="preserve">Ø 1200 avec raccord drains (détail C2)</t>
  </si>
  <si>
    <t xml:space="preserve">Puisard</t>
  </si>
  <si>
    <t xml:space="preserve">P-1 (P-600) avec cloche, réserve 300</t>
  </si>
  <si>
    <t xml:space="preserve">Puisard (bassin centre-est)</t>
  </si>
  <si>
    <t xml:space="preserve">Puisard (bassin centre-ouest)</t>
  </si>
  <si>
    <t xml:space="preserve">⚠ D19,80 sous le fond du bassin (F20,20) – à vérifier</t>
  </si>
  <si>
    <t xml:space="preserve">Puisard avec grille bombée (bassin ouest-bas)</t>
  </si>
  <si>
    <t xml:space="preserve">Puisard avec grille bombée (bassin ouest)</t>
  </si>
  <si>
    <t xml:space="preserve">Regard sanitaire</t>
  </si>
  <si>
    <t xml:space="preserve">Ø 1200 avec cunette demi-diamètre</t>
  </si>
  <si>
    <t xml:space="preserve">⚠ Radier plus haut que la sortie du bâtiment (R20,20)</t>
  </si>
  <si>
    <t xml:space="preserve">CV-1</t>
  </si>
  <si>
    <t xml:space="preserve">Chambre de vanne – aqueduc</t>
  </si>
  <si>
    <t xml:space="preserve">VRE modifiée 1165 × 1800 × 1800 mm</t>
  </si>
  <si>
    <t xml:space="preserve">Raccordement sous pression sur 400Ø Hyprescon existant</t>
  </si>
  <si>
    <t xml:space="preserve">Comptes</t>
  </si>
  <si>
    <t xml:space="preserve">Regards pluviaux M-1600 (incl. RP-1 et RP-3 si corrigé)</t>
  </si>
  <si>
    <t xml:space="preserve">Puisards Ø 1200 (bassins de biorétention)</t>
  </si>
  <si>
    <t xml:space="preserve">Branchements sanitaire et aqueduc</t>
  </si>
  <si>
    <t xml:space="preserve">Services amenés à 0,9 m du bâtiment (note C2 3.10). Longueurs mesurées dans le DWG à l'échelle.</t>
  </si>
  <si>
    <t xml:space="preserve">Élément</t>
  </si>
  <si>
    <t xml:space="preserve">Matériau</t>
  </si>
  <si>
    <t xml:space="preserve">Raccordement</t>
  </si>
  <si>
    <t xml:space="preserve">Sanitaire : bâtiment → RS-1</t>
  </si>
  <si>
    <t xml:space="preserve">PVC DR28 noir</t>
  </si>
  <si>
    <t xml:space="preserve">Sortie bâtiment R20,20</t>
  </si>
  <si>
    <t xml:space="preserve">DWG (mesuré)</t>
  </si>
  <si>
    <t xml:space="preserve">Longueur jusqu'à 0,9 m du bâtiment</t>
  </si>
  <si>
    <t xml:space="preserve">Sanitaire : RS-1 → égout existant</t>
  </si>
  <si>
    <t xml:space="preserve">Sur SAN 300 PVC existant (R±17,04), nouveau radier R17,19 – percement / selle</t>
  </si>
  <si>
    <t xml:space="preserve">Chute ≈ 3,5 m : regard de chute ? – voir Points à clarifier</t>
  </si>
  <si>
    <t xml:space="preserve">Aqueduc gicleurs + domestique</t>
  </si>
  <si>
    <t xml:space="preserve">PVC DR18</t>
  </si>
  <si>
    <t xml:space="preserve">Sous pression sur AQ 400 Hyprescon existant – chambre VRE modifiée</t>
  </si>
  <si>
    <t xml:space="preserve">Siamoises sur le bâtiment (plomberie). Isolant si couvert &lt; 2,0 m</t>
  </si>
  <si>
    <t xml:space="preserve">Coupes de rue et travaux dans l'emprise (rue Gaumont)</t>
  </si>
  <si>
    <t xml:space="preserve">Mesuré dans le DWG (hachures « pavage » et « démolition »). Trait de scie à la jonction existant/neuf + transition à 45° (note C2 3.11).</t>
  </si>
  <si>
    <t xml:space="preserve">Description</t>
  </si>
  <si>
    <t xml:space="preserve">Largeur (m)</t>
  </si>
  <si>
    <t xml:space="preserve">Pavage (m²)</t>
  </si>
  <si>
    <t xml:space="preserve">Piste cyclable (m²)</t>
  </si>
  <si>
    <t xml:space="preserve">Bordure à refaire (m)</t>
  </si>
  <si>
    <t xml:space="preserve">Trait de scie (m)</t>
  </si>
  <si>
    <t xml:space="preserve">Réseaux touchés</t>
  </si>
  <si>
    <t xml:space="preserve">CR-1</t>
  </si>
  <si>
    <t xml:space="preserve">Branchements sanitaire 150 + aqueduc 200 (centre, devant salle des gicleurs)</t>
  </si>
  <si>
    <t xml:space="preserve">SAN 300 PVC, AQ 400 Hyprescon (raccord sous pression), croisement PLUV 600 TBA et gaz 114 mm</t>
  </si>
  <si>
    <t xml:space="preserve">Coordination Ville (note 3.1) ; frais/dépôts municipaux (note 1.9)</t>
  </si>
  <si>
    <t xml:space="preserve">CR-2</t>
  </si>
  <si>
    <t xml:space="preserve">Raccordement pluvial 375 → PLUV 600 TBA existant (entrée est)</t>
  </si>
  <si>
    <t xml:space="preserve">PLUV 600 TBA (R±18,11), croise AQ 400 Hyprescon et gaz</t>
  </si>
  <si>
    <t xml:space="preserve">Coupe dans l'entrée charretière</t>
  </si>
  <si>
    <t xml:space="preserve">ENT-O</t>
  </si>
  <si>
    <t xml:space="preserve">Entrée ouest – bordure surbaissée à refaire + bande de pavage</t>
  </si>
  <si>
    <t xml:space="preserve">—</t>
  </si>
  <si>
    <t xml:space="preserve">Démolition bordure existante 23,2 m</t>
  </si>
  <si>
    <t xml:space="preserve">ENT-E</t>
  </si>
  <si>
    <t xml:space="preserve">Entrée est – bordure surbaissée à refaire + bande de pavage</t>
  </si>
  <si>
    <t xml:space="preserve">Démolition bordure existante 25,3 m</t>
  </si>
  <si>
    <t xml:space="preserve">Note : la structure de chaussée de la remise en état dans la rue doit suivre les exigences de la Ville de Laval (non précisées au plan).</t>
  </si>
  <si>
    <t xml:space="preserve">Voirie et aménagement de surface</t>
  </si>
  <si>
    <t xml:space="preserve">Pavage : surfaces mesurées sur le PDF (teintes foncée / pâle), ajustées au total de l'ingénieur. Bordures, trottoirs et gazon : implantation intégrée au DWG.</t>
  </si>
  <si>
    <t xml:space="preserve">Structure / détail (C2)</t>
  </si>
  <si>
    <t xml:space="preserve">Pavage lourd type A – surface mesurée</t>
  </si>
  <si>
    <t xml:space="preserve">EB-14 60 mm + EB-10S 40 mm / MG-20 150 / MG-56 450</t>
  </si>
  <si>
    <t xml:space="preserve">PDF (mesuré)</t>
  </si>
  <si>
    <t xml:space="preserve">Inclut entrées et coupe CR-1</t>
  </si>
  <si>
    <t xml:space="preserve">Pavage léger (stationnement) – surface mesurée</t>
  </si>
  <si>
    <t xml:space="preserve">EB-10S 65 mm / MG-20 150 / MG-56 300</t>
  </si>
  <si>
    <t xml:space="preserve">Stationnements nord-ouest et nord-est</t>
  </si>
  <si>
    <t xml:space="preserve">Pavage lourd – ajusté au total ingénieur</t>
  </si>
  <si>
    <t xml:space="preserve">Total ingénieur pavage = 11 019,8 m²</t>
  </si>
  <si>
    <t xml:space="preserve">Pavage léger – ajusté au total ingénieur</t>
  </si>
  <si>
    <t xml:space="preserve">Enrobé EB-14 (lourd)</t>
  </si>
  <si>
    <t xml:space="preserve">60 mm</t>
  </si>
  <si>
    <t xml:space="preserve">Calcul</t>
  </si>
  <si>
    <t xml:space="preserve">Enrobé EB-10S (lourd 40 mm + léger 65 mm)</t>
  </si>
  <si>
    <t xml:space="preserve">Pierre MG-20 – fondation supérieure 150 mm</t>
  </si>
  <si>
    <t xml:space="preserve">Comp. 95 % P.M.</t>
  </si>
  <si>
    <t xml:space="preserve">Pierre MG-56 – fondation inférieure</t>
  </si>
  <si>
    <t xml:space="preserve">450 mm (lourd) / 300 mm (léger)</t>
  </si>
  <si>
    <t xml:space="preserve">Bordure de béton – total site</t>
  </si>
  <si>
    <t xml:space="preserve">Bordure 32 MPa, 200 × 400 (détail C2)</t>
  </si>
  <si>
    <t xml:space="preserve">DWG (implantation)</t>
  </si>
  <si>
    <t xml:space="preserve">Total des composantes ci-dessous ; ± 5 % (version polygonale vs courbes du civil)</t>
  </si>
  <si>
    <t xml:space="preserve">   dont bordure périphérique (entrée est → sud → entrée ouest)</t>
  </si>
  <si>
    <t xml:space="preserve">   dont îlots / bordures intérieures ouest + est</t>
  </si>
  <si>
    <t xml:space="preserve">125,0 + 112,9</t>
  </si>
  <si>
    <t xml:space="preserve">   dont bordures des stationnements nord</t>
  </si>
  <si>
    <t xml:space="preserve">   dont bordures le long des quais / façade sud</t>
  </si>
  <si>
    <t xml:space="preserve">   dont divers (bouts, retours)</t>
  </si>
  <si>
    <t xml:space="preserve">Bordure de béton surbaissée (entrées sur rue Gaumont)</t>
  </si>
  <si>
    <t xml:space="preserve">Détail bordure surbaissée C2</t>
  </si>
  <si>
    <t xml:space="preserve">DWG</t>
  </si>
  <si>
    <t xml:space="preserve">Voir Coupes de rue</t>
  </si>
  <si>
    <t xml:space="preserve">Trottoir de béton (mesuré)</t>
  </si>
  <si>
    <t xml:space="preserve">150 mm béton 32 MPa / fondation pierre nette 20 mm 150 mm</t>
  </si>
  <si>
    <t xml:space="preserve">Tableau ingénieur = 160,8 m² – à clarifier</t>
  </si>
  <si>
    <t xml:space="preserve">   dont paliers de portes</t>
  </si>
  <si>
    <t xml:space="preserve">10 paliers × 1,7 m²</t>
  </si>
  <si>
    <t xml:space="preserve">Gazon en plaque sur 150 mm de terre végétale</t>
  </si>
  <si>
    <t xml:space="preserve">BNQ 0605-100</t>
  </si>
  <si>
    <t xml:space="preserve">Tableau ingénieur « végétation » = 3 991,4 m²</t>
  </si>
  <si>
    <t xml:space="preserve">Terre végétale 150 mm</t>
  </si>
  <si>
    <t xml:space="preserve">Bassins de biorétention (5) – aire d'infiltration</t>
  </si>
  <si>
    <t xml:space="preserve">Ouest 312,0 / ouest-bas 123,0 / centre-ouest 246,0 / centre-est 162,6 / est 181,2</t>
  </si>
  <si>
    <t xml:space="preserve">PDF C1</t>
  </si>
  <si>
    <t xml:space="preserve">Volumes ci-dessous selon coupe C2 – épaisseurs à confirmer</t>
  </si>
  <si>
    <t xml:space="preserve">   Substrat CSA W200-18 (≈ 500 mm)</t>
  </si>
  <si>
    <t xml:space="preserve">   Filtre granulaire 3-10 mm (100 mm)</t>
  </si>
  <si>
    <t xml:space="preserve">   Pierre nette 50 mm (≈ 450 mm)</t>
  </si>
  <si>
    <t xml:space="preserve">Tranchée drainante (1000 × 600, pierre nette 20 mm + drain PEHD perf. 200)</t>
  </si>
  <si>
    <t xml:space="preserve">Coupe tranchée drainante C2</t>
  </si>
  <si>
    <t xml:space="preserve">Longueur non cotée</t>
  </si>
  <si>
    <t xml:space="preserve">   Pierre nette 20 mm</t>
  </si>
  <si>
    <t xml:space="preserve">Isolant rigide HI-40 50 mm – croisements montrés (3)</t>
  </si>
  <si>
    <t xml:space="preserve">3 × ≈ 1,9 m × 6 m</t>
  </si>
  <si>
    <t xml:space="preserve">Dimensions non cotées</t>
  </si>
  <si>
    <t xml:space="preserve">Isolant rigide HI-40 – conduites à faible couvert (note 3.14)</t>
  </si>
  <si>
    <t xml:space="preserve">≈ 305 m de 900Ø + 55 m de 450Ø à &lt; 1,2 m de couvert</t>
  </si>
  <si>
    <t xml:space="preserve">Non montré au plan mais exigé « montré ou non » – voir Points à clarifier</t>
  </si>
  <si>
    <t xml:space="preserve">Nouveaux murets / muret ou talus</t>
  </si>
  <si>
    <t xml:space="preserve">Aucun détail fourni</t>
  </si>
  <si>
    <t xml:space="preserve">À clarifier (type, hauteur)</t>
  </si>
  <si>
    <t xml:space="preserve">Marquage de stationnement</t>
  </si>
  <si>
    <t xml:space="preserve">global</t>
  </si>
  <si>
    <t xml:space="preserve">Lignes jaunes 100 mm, symboles PMR</t>
  </si>
  <si>
    <t xml:space="preserve">Voir plan d'architecte (note 3.15)</t>
  </si>
  <si>
    <t xml:space="preserve">Démolition et préparation</t>
  </si>
  <si>
    <t xml:space="preserve">Mesuré dans le DWG (calques « démolition »).</t>
  </si>
  <si>
    <t xml:space="preserve">Bordure de béton existante à démolir (entrées)</t>
  </si>
  <si>
    <t xml:space="preserve">Ouest 23,2 + est 25,3</t>
  </si>
  <si>
    <t xml:space="preserve">Bordure existante à démolir – coupe CR-1</t>
  </si>
  <si>
    <t xml:space="preserve">Pavage existant à démolir (rue Gaumont)</t>
  </si>
  <si>
    <t xml:space="preserve">Coupes CR-1, CR-2 et bandes aux entrées</t>
  </si>
  <si>
    <t xml:space="preserve">Fossé existant à remblayer (côté est)</t>
  </si>
  <si>
    <t xml:space="preserve">« Fossé à remblayer »</t>
  </si>
  <si>
    <t xml:space="preserve">Coupe / protection des arbres</t>
  </si>
  <si>
    <t xml:space="preserve">C2 note 3.9</t>
  </si>
  <si>
    <t xml:space="preserve">Selon rapport du biologiste (non fourni)</t>
  </si>
  <si>
    <t xml:space="preserve">Comparatif TBA (Lécuyer) vs PEHD optimisé (Wolseley / Soleno) – réseau pluvial</t>
  </si>
  <si>
    <t xml:space="preserve">Prix matériel avant taxes. Bleu = prix des soumissions reçues ; jaune = à saisir ou à confirmer ; « Estimé » = valeur de Claude à remplacer par un prix réel.</t>
  </si>
  <si>
    <t xml:space="preserve">Option A – TBA</t>
  </si>
  <si>
    <t xml:space="preserve">Option B – PEHD</t>
  </si>
  <si>
    <t xml:space="preserve">Note</t>
  </si>
  <si>
    <t xml:space="preserve">TBA 900 classe IV – 352,5 m × 380,20 $</t>
  </si>
  <si>
    <t xml:space="preserve">Lécuyer 44746-TBAPX-R1</t>
  </si>
  <si>
    <t xml:space="preserve">Joints caoutchouc inclus ; 141 tuyaux de 2,5 m</t>
  </si>
  <si>
    <t xml:space="preserve">Transport TBA (11 voyages théoriques)</t>
  </si>
  <si>
    <t xml:space="preserve">Regards RP-1 à RP-6 (béton)</t>
  </si>
  <si>
    <t xml:space="preserve">Lécuyer 44746-EGPX-R2</t>
  </si>
  <si>
    <t xml:space="preserve">Fonte exclue ; RP-1 coté M-1200 (plan : M-1600)</t>
  </si>
  <si>
    <t xml:space="preserve">Ajustement RP-1 en M-1600 (au lieu de M-1200)</t>
  </si>
  <si>
    <t xml:space="preserve">Estimé</t>
  </si>
  <si>
    <t xml:space="preserve">Moyenne des M-1600 Lécuyer (5 457 $) moins 2 491,60 $ ; à confirmer</t>
  </si>
  <si>
    <t xml:space="preserve">Puisards P-1 à P-11 (béton, 11 un.)</t>
  </si>
  <si>
    <t xml:space="preserve">Fonte exclue</t>
  </si>
  <si>
    <t xml:space="preserve">Séparateur StormSettler STL-7 + transport</t>
  </si>
  <si>
    <t xml:space="preserve">Lécuyer 44746-UTPX-R1</t>
  </si>
  <si>
    <t xml:space="preserve">43 139,33 + 1 124,00</t>
  </si>
  <si>
    <t xml:space="preserve">Transport des regards et puisards (≈ 49 t, 2 voyages)</t>
  </si>
  <si>
    <t xml:space="preserve">Estimé (grille Lécuyer)</t>
  </si>
  <si>
    <t xml:space="preserve">Fonte des regards et puisards (17 un.)</t>
  </si>
  <si>
    <t xml:space="preserve">Estimé (prix unitaires Wolseley)</t>
  </si>
  <si>
    <t xml:space="preserve">6 regards × 993 + 5 grilles dôme × 683 + 6 puisards × 965</t>
  </si>
  <si>
    <t xml:space="preserve">Latéraux PVC DR35 : 300 (112 m), 375 (20 m), 450 (56 m) + 2 tés 450×300</t>
  </si>
  <si>
    <t xml:space="preserve">Wolseley QP062953 (lignes ALT)</t>
  </si>
  <si>
    <t xml:space="preserve">Produits alternatifs non inclus au total Wolseley</t>
  </si>
  <si>
    <t xml:space="preserve">Raccords des latéraux sur la 900 TBA (carottage + Kor-N-Seal, 6 un.)</t>
  </si>
  <si>
    <t xml:space="preserve">Té monolithique non compris chez Lécuyer</t>
  </si>
  <si>
    <t xml:space="preserve">Escompte Lécuyer sur le tuyau TBA</t>
  </si>
  <si>
    <t xml:space="preserve">Escompte (Paramètres)</t>
  </si>
  <si>
    <t xml:space="preserve">% modifiable dans Paramètres</t>
  </si>
  <si>
    <t xml:space="preserve">Escompte Lécuyer sur les regards (RP-1 à RP-6, incl. ajustement RP-1)</t>
  </si>
  <si>
    <t xml:space="preserve">Escompte Lécuyer sur l'unité de traitement (hors transport)</t>
  </si>
  <si>
    <t xml:space="preserve">Transport net, non escompté</t>
  </si>
  <si>
    <t xml:space="preserve">Escompte Lécuyer sur les puisards (variante)</t>
  </si>
  <si>
    <t xml:space="preserve">0 % par défaut</t>
  </si>
  <si>
    <t xml:space="preserve">Régulateur de débit type bouchon 375</t>
  </si>
  <si>
    <t xml:space="preserve">Wolseley QP062953</t>
  </si>
  <si>
    <t xml:space="preserve">Même produit dans les deux options</t>
  </si>
  <si>
    <t xml:space="preserve">Réseau SFM 900 Soleno (378 m, 5 cheminées-regards RP-2 à RP-6, coudes, raccords des puisards)</t>
  </si>
  <si>
    <t xml:space="preserve">Wolseley QP062953 option 2</t>
  </si>
  <si>
    <t xml:space="preserve">Croquis Soleno PRO085820</t>
  </si>
  <si>
    <t xml:space="preserve">Latéraux PEHD CGI : 450 (60 m), 375 (30 m), 300 (102 m)</t>
  </si>
  <si>
    <t xml:space="preserve">4 218,00 + 1 649,10 + 3 811,74</t>
  </si>
  <si>
    <t xml:space="preserve">Unité de traitement CDS-8 (béton)</t>
  </si>
  <si>
    <t xml:space="preserve">Mains de levage non fournies</t>
  </si>
  <si>
    <t xml:space="preserve">Adaptateurs de regard 375 (CDS)</t>
  </si>
  <si>
    <t xml:space="preserve">RP-1 regard PEHD lisse 900 H 2,15 m + fonte</t>
  </si>
  <si>
    <t xml:space="preserve">2 279,03 + 234,00 + 386,72 + 372,33</t>
  </si>
  <si>
    <t xml:space="preserve">Puisards PEHD 600 (10 un.) + cadres et grilles</t>
  </si>
  <si>
    <t xml:space="preserve">Un 11e puisard manque (ligne suivante)</t>
  </si>
  <si>
    <t xml:space="preserve">11e puisard (P-11), manquant chez Wolseley</t>
  </si>
  <si>
    <t xml:space="preserve">758,32 + fonte 965</t>
  </si>
  <si>
    <t xml:space="preserve">Fonte des 5 cheminées-regards RP-2 à RP-6</t>
  </si>
  <si>
    <t xml:space="preserve">Non listée dans la soumission Wolseley</t>
  </si>
  <si>
    <t xml:space="preserve">Transport Soleno (7 voyages)</t>
  </si>
  <si>
    <t xml:space="preserve">SOUS-TOTAL MATÉRIEL</t>
  </si>
  <si>
    <t xml:space="preserve">Installation – différences entre les options</t>
  </si>
  <si>
    <t xml:space="preserve">Pierre MG-20B d'assise et d'enrobage par m de 900 (m³/m)</t>
  </si>
  <si>
    <t xml:space="preserve">Calcul (C2 note E)</t>
  </si>
  <si>
    <t xml:space="preserve">TBA : enrobage jusqu'à mi-conduite ; PEHD : 300 mm au-dessus</t>
  </si>
  <si>
    <t xml:space="preserve">Pierre MG-20B totale (t)</t>
  </si>
  <si>
    <t xml:space="preserve">Prix de la pierre MG-20B livrée ($/t)</t>
  </si>
  <si>
    <t xml:space="preserve">À SAISIR</t>
  </si>
  <si>
    <t xml:space="preserve">Même prix pour les deux options (cellule B)</t>
  </si>
  <si>
    <t xml:space="preserve">Coût de la pierre</t>
  </si>
  <si>
    <t xml:space="preserve">Production de pose de la 900 (m/jour)</t>
  </si>
  <si>
    <t xml:space="preserve">Vos équipes</t>
  </si>
  <si>
    <t xml:space="preserve">Coût équipe + équipement ($/jour)</t>
  </si>
  <si>
    <t xml:space="preserve">Option B : équipement plus léger possible</t>
  </si>
  <si>
    <t xml:space="preserve">Coût de pose de la 900</t>
  </si>
  <si>
    <t xml:space="preserve">COÛT COMPARABLE (matériel + pierre + pose)</t>
  </si>
  <si>
    <t xml:space="preserve">Écart B – A (négatif = PEHD moins cher)</t>
  </si>
  <si>
    <t xml:space="preserve">Seuil : prix de la pierre ($/t) qui annule l'économie sur le matériel</t>
  </si>
  <si>
    <t xml:space="preserve">Éléments communs aux deux options, exclus du comparatif : drain perforé 200 (370 m), PVC 200/250 DR35, sanitaire 150, aqueduc, RS-1.</t>
  </si>
  <si>
    <t xml:space="preserve">L'option B est une substitution complète (conduite, regards, puisards, séparateur) : approbation écrite de l'ingénieur requise.</t>
  </si>
  <si>
    <t xml:space="preserve">Paramètres de calcul</t>
  </si>
  <si>
    <t xml:space="preserve">Toutes les constantes utilisées par les formules. Cellules en bleu = valeurs modifiables. Sources : feuille C2 (coupes et détails) sauf mention.</t>
  </si>
  <si>
    <t xml:space="preserve">Paramètre</t>
  </si>
  <si>
    <t xml:space="preserve">Valeur</t>
  </si>
  <si>
    <t xml:space="preserve">Source / note</t>
  </si>
  <si>
    <t xml:space="preserve">Assise – conduite ≤ 600 mm</t>
  </si>
  <si>
    <t xml:space="preserve">C2 Tableau 1 (dans le sol)</t>
  </si>
  <si>
    <t xml:space="preserve">Assise – conduite 675 à 1200 mm</t>
  </si>
  <si>
    <t xml:space="preserve">Surlargeur de tranchée (D ext. + …)</t>
  </si>
  <si>
    <t xml:space="preserve">C2 Tableau 1 – tranchée non étançonnée</t>
  </si>
  <si>
    <t xml:space="preserve">Enrobage au-dessus de la couronne (conduite flexible)</t>
  </si>
  <si>
    <t xml:space="preserve">C2 Section type tranchée commune</t>
  </si>
  <si>
    <t xml:space="preserve">Diamètre ext. TBA 900 classe IV</t>
  </si>
  <si>
    <t xml:space="preserve">Hypothèse : paroi B ≈ 102 mm (ASTM C76) – confirmer avec fournisseur</t>
  </si>
  <si>
    <t xml:space="preserve">Diamètre ext. PEHD 900 double paroi</t>
  </si>
  <si>
    <t xml:space="preserve">Hypothèse : ext. ≈ 1 052 mm (type N-12) – confirmer avec fournisseur</t>
  </si>
  <si>
    <t xml:space="preserve">Diamètre ext. PVC 300</t>
  </si>
  <si>
    <t xml:space="preserve">Nominal</t>
  </si>
  <si>
    <t xml:space="preserve">Diamètre ext. PVC 450</t>
  </si>
  <si>
    <t xml:space="preserve">Densité en place pierre MG-20 / MG-20B</t>
  </si>
  <si>
    <t xml:space="preserve">t/m³</t>
  </si>
  <si>
    <t xml:space="preserve">Hypothèse usuelle</t>
  </si>
  <si>
    <t xml:space="preserve">Densité enrobé bitumineux</t>
  </si>
  <si>
    <t xml:space="preserve">Facteur de foisonnement déblais</t>
  </si>
  <si>
    <t xml:space="preserve">-</t>
  </si>
  <si>
    <t xml:space="preserve">Hypothèse usuelle (transport)</t>
  </si>
  <si>
    <t xml:space="preserve">Couvert min. pluvial sans isolant</t>
  </si>
  <si>
    <t xml:space="preserve">C2 note 3.14</t>
  </si>
  <si>
    <t xml:space="preserve">Largeur isolant – 900 mm (1220 + D-200)</t>
  </si>
  <si>
    <t xml:space="preserve">C2 Tableau isolant rigide</t>
  </si>
  <si>
    <t xml:space="preserve">Largeur isolant – 450 mm (1220 + D-200)</t>
  </si>
  <si>
    <t xml:space="preserve">Escompte Lécuyer – tuyau TBA</t>
  </si>
  <si>
    <t xml:space="preserve">Fourni par W. Dubreuil (2026-10-13)</t>
  </si>
  <si>
    <t xml:space="preserve">Escompte Lécuyer – regards</t>
  </si>
  <si>
    <t xml:space="preserve">Escompte Lécuyer – unité de traitement (matériel, hors transport)</t>
  </si>
  <si>
    <t xml:space="preserve">Escompte Lécuyer – puisards (variante)</t>
  </si>
  <si>
    <t xml:space="preserve">0 % par défaut ; mettre 30 % si l'escompte s'applique aussi aux puisards</t>
  </si>
  <si>
    <t xml:space="preserve">Facteur d'ajustement pavage (total ingénieur / mesure)</t>
  </si>
  <si>
    <t xml:space="preserve">Tableau rétention C2 (pavage 11 019,8 m²) ÷ surfaces mesurées PDF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</si>
</sst>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0%"/>
    <numFmt numFmtId="167" formatCode="0.00"/>
    <numFmt numFmtId="168" formatCode="0.000"/>
    <numFmt numFmtId="169" formatCode="#,##0"/>
    <numFmt numFmtId="170" formatCode="General"/>
    <numFmt numFmtId="171" formatCode="0.0"/>
    <numFmt numFmtId="172" formatCode="#\ ##0&quot; $&quot;"/>
    <numFmt numFmtId="173" formatCode="#,##0.00"/>
    <numFmt numFmtId="174" formatCode="#\ ##0&quot; $&quot;;[RED]\-#\ ##0&quot; $&quot;"/>
    <numFmt numFmtId="175" formatCode="0.00&quot; $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sz val="9"/>
      <color rgb="FF5A6273"/>
      <name val="Arial"/>
      <family val="0"/>
      <charset val="1"/>
    </font>
    <font>
      <b val="true"/>
      <sz val="9"/>
      <color rgb="FFC412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C41230"/>
      <name val="Arial"/>
      <family val="0"/>
      <charset val="1"/>
    </font>
    <font>
      <b val="true"/>
      <sz val="14"/>
      <color rgb="FF1421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1A1A1A"/>
      </patternFill>
    </fill>
    <fill>
      <patternFill patternType="solid">
        <fgColor rgb="FFF4F5F7"/>
        <bgColor rgb="FFFFFFFF"/>
      </patternFill>
    </fill>
    <fill>
      <patternFill patternType="solid">
        <fgColor rgb="FFE9EBEF"/>
        <bgColor rgb="FFF4F5F7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CE3"/>
      </left>
      <right style="thin">
        <color rgb="FFD8DCE3"/>
      </right>
      <top style="thin">
        <color rgb="FFD8DCE3"/>
      </top>
      <bottom style="thin">
        <color rgb="FFD8DCE3"/>
      </bottom>
      <diagonal/>
    </border>
    <border diagonalUp="false" diagonalDown="false">
      <left style="thin">
        <color rgb="FFD8DCE3"/>
      </left>
      <right style="thin">
        <color rgb="FFD8DCE3"/>
      </right>
      <top style="medium">
        <color rgb="FF14213D"/>
      </top>
      <bottom style="thin">
        <color rgb="FFD8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5F7"/>
      <rgbColor rgb="FFE9EBEF"/>
      <rgbColor rgb="FF660066"/>
      <rgbColor rgb="FFFF8080"/>
      <rgbColor rgb="FF0066CC"/>
      <rgbColor rgb="FFD8D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273"/>
      <rgbColor rgb="FF969696"/>
      <rgbColor rgb="FF003366"/>
      <rgbColor rgb="FF339966"/>
      <rgbColor rgb="FF003300"/>
      <rgbColor rgb="FF1A1A1A"/>
      <rgbColor rgb="FFC4123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D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5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n">
        <f aca="false">'Pluvial – conduites'!F29</f>
        <v>352.4</v>
      </c>
      <c r="C6" s="5" t="s">
        <v>8</v>
      </c>
      <c r="D6" s="5" t="s">
        <v>9</v>
      </c>
    </row>
    <row r="7" customFormat="false" ht="15" hidden="false" customHeight="false" outlineLevel="0" collapsed="false">
      <c r="A7" s="7" t="s">
        <v>10</v>
      </c>
      <c r="B7" s="8" t="n">
        <f aca="false">'Pluvial – conduites'!F30</f>
        <v>55.4</v>
      </c>
      <c r="C7" s="7" t="s">
        <v>8</v>
      </c>
      <c r="D7" s="7" t="s">
        <v>11</v>
      </c>
    </row>
    <row r="8" customFormat="false" ht="15" hidden="false" customHeight="false" outlineLevel="0" collapsed="false">
      <c r="A8" s="5" t="s">
        <v>12</v>
      </c>
      <c r="B8" s="6" t="n">
        <f aca="false">'Pluvial – conduites'!F31</f>
        <v>19.5</v>
      </c>
      <c r="C8" s="5" t="s">
        <v>8</v>
      </c>
      <c r="D8" s="5" t="s">
        <v>13</v>
      </c>
    </row>
    <row r="9" customFormat="false" ht="15" hidden="false" customHeight="false" outlineLevel="0" collapsed="false">
      <c r="A9" s="7" t="s">
        <v>14</v>
      </c>
      <c r="B9" s="8" t="n">
        <f aca="false">'Pluvial – conduites'!F32</f>
        <v>154.7</v>
      </c>
      <c r="C9" s="7" t="s">
        <v>8</v>
      </c>
      <c r="D9" s="7"/>
    </row>
    <row r="10" customFormat="false" ht="15" hidden="false" customHeight="false" outlineLevel="0" collapsed="false">
      <c r="A10" s="5" t="s">
        <v>15</v>
      </c>
      <c r="B10" s="6" t="n">
        <f aca="false">'Pluvial – conduites'!F33</f>
        <v>27.4</v>
      </c>
      <c r="C10" s="5" t="s">
        <v>8</v>
      </c>
      <c r="D10" s="5" t="s">
        <v>16</v>
      </c>
    </row>
    <row r="11" customFormat="false" ht="15" hidden="false" customHeight="false" outlineLevel="0" collapsed="false">
      <c r="A11" s="7" t="s">
        <v>17</v>
      </c>
      <c r="B11" s="8" t="n">
        <f aca="false">'Pluvial – conduites'!F34</f>
        <v>330</v>
      </c>
      <c r="C11" s="7" t="s">
        <v>8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f aca="false">6</f>
        <v>6</v>
      </c>
      <c r="C12" s="5" t="s">
        <v>20</v>
      </c>
      <c r="D12" s="5" t="s">
        <v>21</v>
      </c>
    </row>
    <row r="13" customFormat="false" ht="15" hidden="false" customHeight="false" outlineLevel="0" collapsed="false">
      <c r="A13" s="7" t="s">
        <v>22</v>
      </c>
      <c r="B13" s="8" t="n">
        <f aca="false">1</f>
        <v>1</v>
      </c>
      <c r="C13" s="7" t="s">
        <v>20</v>
      </c>
      <c r="D13" s="7"/>
    </row>
    <row r="14" customFormat="false" ht="15" hidden="false" customHeight="false" outlineLevel="0" collapsed="false">
      <c r="A14" s="5" t="s">
        <v>23</v>
      </c>
      <c r="B14" s="6" t="n">
        <f aca="false">Structures!I29</f>
        <v>5</v>
      </c>
      <c r="C14" s="5" t="s">
        <v>20</v>
      </c>
      <c r="D14" s="5"/>
    </row>
    <row r="15" customFormat="false" ht="15" hidden="false" customHeight="false" outlineLevel="0" collapsed="false">
      <c r="A15" s="7" t="s">
        <v>24</v>
      </c>
      <c r="B15" s="8" t="n">
        <f aca="false">Structures!I30</f>
        <v>6</v>
      </c>
      <c r="C15" s="7" t="s">
        <v>20</v>
      </c>
      <c r="D15" s="7"/>
    </row>
    <row r="16" customFormat="false" ht="15" hidden="false" customHeight="false" outlineLevel="0" collapsed="false">
      <c r="A16" s="5" t="s">
        <v>25</v>
      </c>
      <c r="B16" s="6" t="n">
        <f aca="false">1</f>
        <v>1</v>
      </c>
      <c r="C16" s="5" t="s">
        <v>20</v>
      </c>
      <c r="D16" s="5" t="s">
        <v>26</v>
      </c>
    </row>
    <row r="17" customFormat="false" ht="15" hidden="false" customHeight="false" outlineLevel="0" collapsed="false">
      <c r="A17" s="7" t="s">
        <v>27</v>
      </c>
      <c r="B17" s="8" t="n">
        <f aca="false">'Sanitaire et aqueduc'!D5+'Sanitaire et aqueduc'!D6</f>
        <v>13.6</v>
      </c>
      <c r="C17" s="7" t="s">
        <v>8</v>
      </c>
      <c r="D17" s="7"/>
    </row>
    <row r="18" customFormat="false" ht="15" hidden="false" customHeight="false" outlineLevel="0" collapsed="false">
      <c r="A18" s="5" t="s">
        <v>28</v>
      </c>
      <c r="B18" s="6" t="n">
        <f aca="false">'Sanitaire et aqueduc'!D7</f>
        <v>11.7</v>
      </c>
      <c r="C18" s="5" t="s">
        <v>8</v>
      </c>
      <c r="D18" s="5" t="s">
        <v>29</v>
      </c>
    </row>
    <row r="19" customFormat="false" ht="15" hidden="false" customHeight="false" outlineLevel="0" collapsed="false">
      <c r="A19" s="7" t="s">
        <v>30</v>
      </c>
      <c r="B19" s="8" t="n">
        <f aca="false">'Pluvial – conduites'!M26</f>
        <v>1924.705003</v>
      </c>
      <c r="C19" s="7" t="s">
        <v>31</v>
      </c>
      <c r="D19" s="7" t="s">
        <v>32</v>
      </c>
    </row>
    <row r="20" customFormat="false" ht="15" hidden="false" customHeight="false" outlineLevel="0" collapsed="false">
      <c r="A20" s="5" t="s">
        <v>33</v>
      </c>
      <c r="B20" s="6" t="n">
        <f aca="false">'Pluvial – conduites'!N26</f>
        <v>624.485209322735</v>
      </c>
      <c r="C20" s="5" t="s">
        <v>31</v>
      </c>
      <c r="D20" s="5"/>
    </row>
    <row r="21" customFormat="false" ht="15" hidden="false" customHeight="false" outlineLevel="0" collapsed="false">
      <c r="A21" s="7" t="s">
        <v>34</v>
      </c>
      <c r="B21" s="8" t="n">
        <f aca="false">'Coupes de rue'!E9+'Coupes de rue'!F9</f>
        <v>212.5</v>
      </c>
      <c r="C21" s="7" t="s">
        <v>35</v>
      </c>
      <c r="D21" s="7" t="s">
        <v>36</v>
      </c>
    </row>
    <row r="22" customFormat="false" ht="15" hidden="false" customHeight="false" outlineLevel="0" collapsed="false">
      <c r="A22" s="5" t="s">
        <v>37</v>
      </c>
      <c r="B22" s="6" t="n">
        <f aca="false">'Coupes de rue'!G9</f>
        <v>57</v>
      </c>
      <c r="C22" s="5" t="s">
        <v>8</v>
      </c>
      <c r="D22" s="5"/>
    </row>
    <row r="23" customFormat="false" ht="15" hidden="false" customHeight="false" outlineLevel="0" collapsed="false">
      <c r="A23" s="7" t="s">
        <v>38</v>
      </c>
      <c r="B23" s="8" t="n">
        <f aca="false">Surfaces!B7</f>
        <v>8506.16503112378</v>
      </c>
      <c r="C23" s="7" t="s">
        <v>35</v>
      </c>
      <c r="D23" s="7" t="s">
        <v>39</v>
      </c>
    </row>
    <row r="24" customFormat="false" ht="15" hidden="false" customHeight="false" outlineLevel="0" collapsed="false">
      <c r="A24" s="5" t="s">
        <v>40</v>
      </c>
      <c r="B24" s="6" t="n">
        <f aca="false">Surfaces!B8</f>
        <v>2513.63496887622</v>
      </c>
      <c r="C24" s="5" t="s">
        <v>35</v>
      </c>
      <c r="D24" s="5"/>
    </row>
    <row r="25" customFormat="false" ht="15" hidden="false" customHeight="false" outlineLevel="0" collapsed="false">
      <c r="A25" s="7" t="s">
        <v>41</v>
      </c>
      <c r="B25" s="8" t="n">
        <f aca="false">Surfaces!B9+Surfaces!B10</f>
        <v>2433.6066626144</v>
      </c>
      <c r="C25" s="7" t="s">
        <v>42</v>
      </c>
      <c r="D25" s="7"/>
    </row>
    <row r="26" customFormat="false" ht="15" hidden="false" customHeight="false" outlineLevel="0" collapsed="false">
      <c r="A26" s="5" t="s">
        <v>43</v>
      </c>
      <c r="B26" s="6" t="n">
        <f aca="false">Surfaces!B11</f>
        <v>1652.97</v>
      </c>
      <c r="C26" s="5" t="s">
        <v>31</v>
      </c>
      <c r="D26" s="5"/>
    </row>
    <row r="27" customFormat="false" ht="15" hidden="false" customHeight="false" outlineLevel="0" collapsed="false">
      <c r="A27" s="7" t="s">
        <v>44</v>
      </c>
      <c r="B27" s="8" t="n">
        <f aca="false">Surfaces!B12</f>
        <v>4581.86475466857</v>
      </c>
      <c r="C27" s="7" t="s">
        <v>31</v>
      </c>
      <c r="D27" s="7"/>
    </row>
    <row r="28" customFormat="false" ht="15" hidden="false" customHeight="false" outlineLevel="0" collapsed="false">
      <c r="A28" s="5" t="s">
        <v>45</v>
      </c>
      <c r="B28" s="6" t="n">
        <f aca="false">Surfaces!B13</f>
        <v>1191</v>
      </c>
      <c r="C28" s="5" t="s">
        <v>8</v>
      </c>
      <c r="D28" s="5"/>
    </row>
    <row r="29" customFormat="false" ht="15" hidden="false" customHeight="false" outlineLevel="0" collapsed="false">
      <c r="A29" s="7" t="s">
        <v>46</v>
      </c>
      <c r="B29" s="8" t="n">
        <f aca="false">Surfaces!B20</f>
        <v>238.4</v>
      </c>
      <c r="C29" s="7" t="s">
        <v>35</v>
      </c>
      <c r="D29" s="7"/>
    </row>
    <row r="30" customFormat="false" ht="15" hidden="false" customHeight="false" outlineLevel="0" collapsed="false">
      <c r="A30" s="5" t="s">
        <v>47</v>
      </c>
      <c r="B30" s="6" t="n">
        <f aca="false">Surfaces!B22</f>
        <v>3777.2</v>
      </c>
      <c r="C30" s="5" t="s">
        <v>35</v>
      </c>
      <c r="D30" s="5"/>
    </row>
    <row r="31" customFormat="false" ht="15" hidden="false" customHeight="false" outlineLevel="0" collapsed="false">
      <c r="A31" s="7" t="s">
        <v>48</v>
      </c>
      <c r="B31" s="8" t="n">
        <f aca="false">Surfaces!B24</f>
        <v>1024.8</v>
      </c>
      <c r="C31" s="7" t="s">
        <v>35</v>
      </c>
      <c r="D31" s="7" t="s">
        <v>49</v>
      </c>
    </row>
    <row r="32" customFormat="false" ht="15" hidden="false" customHeight="false" outlineLevel="0" collapsed="false">
      <c r="A32" s="5" t="s">
        <v>50</v>
      </c>
      <c r="B32" s="6" t="n">
        <f aca="false">Surfaces!B30+Surfaces!B31</f>
        <v>702.45</v>
      </c>
      <c r="C32" s="5" t="s">
        <v>35</v>
      </c>
      <c r="D32" s="5" t="s">
        <v>51</v>
      </c>
    </row>
    <row r="34" customFormat="false" ht="15" hidden="false" customHeight="false" outlineLevel="0" collapsed="false">
      <c r="A34" s="9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70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54</v>
      </c>
    </row>
    <row r="4" customFormat="false" ht="31.5" hidden="false" customHeight="true" outlineLevel="0" collapsed="false">
      <c r="A4" s="4" t="s">
        <v>55</v>
      </c>
      <c r="B4" s="4" t="s">
        <v>56</v>
      </c>
      <c r="C4" s="4" t="s">
        <v>57</v>
      </c>
      <c r="D4" s="4" t="s">
        <v>58</v>
      </c>
      <c r="E4" s="4" t="s">
        <v>59</v>
      </c>
    </row>
    <row r="5" customFormat="false" ht="35.05" hidden="false" customHeight="false" outlineLevel="0" collapsed="false">
      <c r="A5" s="11" t="n">
        <v>1</v>
      </c>
      <c r="B5" s="12" t="s">
        <v>60</v>
      </c>
      <c r="C5" s="5" t="s">
        <v>61</v>
      </c>
      <c r="D5" s="5" t="s">
        <v>62</v>
      </c>
      <c r="E5" s="5" t="s">
        <v>63</v>
      </c>
    </row>
    <row r="6" customFormat="false" ht="35.05" hidden="false" customHeight="false" outlineLevel="0" collapsed="false">
      <c r="A6" s="13" t="n">
        <v>2</v>
      </c>
      <c r="B6" s="14" t="s">
        <v>60</v>
      </c>
      <c r="C6" s="7" t="s">
        <v>64</v>
      </c>
      <c r="D6" s="7" t="s">
        <v>65</v>
      </c>
      <c r="E6" s="7" t="s">
        <v>66</v>
      </c>
    </row>
    <row r="7" customFormat="false" ht="15" hidden="false" customHeight="false" outlineLevel="0" collapsed="false">
      <c r="A7" s="11" t="n">
        <v>3</v>
      </c>
      <c r="B7" s="12" t="s">
        <v>60</v>
      </c>
      <c r="C7" s="5" t="s">
        <v>67</v>
      </c>
      <c r="D7" s="5" t="s">
        <v>68</v>
      </c>
      <c r="E7" s="5" t="s">
        <v>69</v>
      </c>
    </row>
    <row r="8" customFormat="false" ht="35.05" hidden="false" customHeight="false" outlineLevel="0" collapsed="false">
      <c r="A8" s="13" t="n">
        <v>4</v>
      </c>
      <c r="B8" s="14" t="s">
        <v>60</v>
      </c>
      <c r="C8" s="7" t="s">
        <v>70</v>
      </c>
      <c r="D8" s="7" t="s">
        <v>71</v>
      </c>
      <c r="E8" s="7" t="s">
        <v>72</v>
      </c>
    </row>
    <row r="9" customFormat="false" ht="23.85" hidden="false" customHeight="false" outlineLevel="0" collapsed="false">
      <c r="A9" s="11" t="n">
        <v>5</v>
      </c>
      <c r="B9" s="5" t="s">
        <v>73</v>
      </c>
      <c r="C9" s="5" t="s">
        <v>74</v>
      </c>
      <c r="D9" s="5" t="s">
        <v>75</v>
      </c>
      <c r="E9" s="5" t="s">
        <v>76</v>
      </c>
    </row>
    <row r="10" customFormat="false" ht="23.85" hidden="false" customHeight="false" outlineLevel="0" collapsed="false">
      <c r="A10" s="13" t="n">
        <v>6</v>
      </c>
      <c r="B10" s="7" t="s">
        <v>73</v>
      </c>
      <c r="C10" s="7" t="s">
        <v>77</v>
      </c>
      <c r="D10" s="7" t="s">
        <v>78</v>
      </c>
      <c r="E10" s="7" t="s">
        <v>79</v>
      </c>
    </row>
    <row r="11" customFormat="false" ht="15" hidden="false" customHeight="false" outlineLevel="0" collapsed="false">
      <c r="A11" s="11" t="n">
        <v>7</v>
      </c>
      <c r="B11" s="5" t="s">
        <v>73</v>
      </c>
      <c r="C11" s="5" t="s">
        <v>80</v>
      </c>
      <c r="D11" s="5" t="s">
        <v>81</v>
      </c>
      <c r="E11" s="5" t="s">
        <v>82</v>
      </c>
    </row>
    <row r="12" customFormat="false" ht="15" hidden="false" customHeight="false" outlineLevel="0" collapsed="false">
      <c r="A12" s="13" t="n">
        <v>8</v>
      </c>
      <c r="B12" s="7" t="s">
        <v>73</v>
      </c>
      <c r="C12" s="7" t="s">
        <v>83</v>
      </c>
      <c r="D12" s="7" t="s">
        <v>84</v>
      </c>
      <c r="E12" s="7" t="s">
        <v>85</v>
      </c>
    </row>
    <row r="13" customFormat="false" ht="35.05" hidden="false" customHeight="false" outlineLevel="0" collapsed="false">
      <c r="A13" s="11" t="n">
        <v>9</v>
      </c>
      <c r="B13" s="5" t="s">
        <v>73</v>
      </c>
      <c r="C13" s="5" t="s">
        <v>86</v>
      </c>
      <c r="D13" s="5" t="s">
        <v>87</v>
      </c>
      <c r="E13" s="5" t="s">
        <v>88</v>
      </c>
    </row>
    <row r="14" customFormat="false" ht="15" hidden="false" customHeight="false" outlineLevel="0" collapsed="false">
      <c r="A14" s="13" t="n">
        <v>10</v>
      </c>
      <c r="B14" s="7" t="s">
        <v>73</v>
      </c>
      <c r="C14" s="7" t="s">
        <v>89</v>
      </c>
      <c r="D14" s="7" t="s">
        <v>90</v>
      </c>
      <c r="E14" s="7" t="s">
        <v>91</v>
      </c>
    </row>
    <row r="15" customFormat="false" ht="15" hidden="false" customHeight="false" outlineLevel="0" collapsed="false">
      <c r="A15" s="11" t="n">
        <v>11</v>
      </c>
      <c r="B15" s="5" t="s">
        <v>92</v>
      </c>
      <c r="C15" s="5" t="s">
        <v>93</v>
      </c>
      <c r="D15" s="5" t="s">
        <v>94</v>
      </c>
      <c r="E15" s="5" t="s">
        <v>95</v>
      </c>
    </row>
    <row r="16" customFormat="false" ht="15" hidden="false" customHeight="false" outlineLevel="0" collapsed="false">
      <c r="A16" s="13" t="n">
        <v>12</v>
      </c>
      <c r="B16" s="7" t="s">
        <v>92</v>
      </c>
      <c r="C16" s="7" t="s">
        <v>96</v>
      </c>
      <c r="D16" s="7" t="s">
        <v>97</v>
      </c>
      <c r="E16" s="7" t="s">
        <v>98</v>
      </c>
    </row>
    <row r="17" customFormat="false" ht="23.85" hidden="false" customHeight="false" outlineLevel="0" collapsed="false">
      <c r="A17" s="11" t="n">
        <v>13</v>
      </c>
      <c r="B17" s="5" t="s">
        <v>92</v>
      </c>
      <c r="C17" s="5" t="s">
        <v>99</v>
      </c>
      <c r="D17" s="5" t="s">
        <v>100</v>
      </c>
      <c r="E17" s="5" t="s">
        <v>101</v>
      </c>
    </row>
    <row r="18" customFormat="false" ht="23.85" hidden="false" customHeight="false" outlineLevel="0" collapsed="false">
      <c r="A18" s="13" t="n">
        <v>14</v>
      </c>
      <c r="B18" s="7" t="s">
        <v>92</v>
      </c>
      <c r="C18" s="7" t="s">
        <v>102</v>
      </c>
      <c r="D18" s="7" t="s">
        <v>103</v>
      </c>
      <c r="E18" s="7" t="s">
        <v>104</v>
      </c>
    </row>
    <row r="19" customFormat="false" ht="23.85" hidden="false" customHeight="false" outlineLevel="0" collapsed="false">
      <c r="A19" s="11" t="n">
        <v>15</v>
      </c>
      <c r="B19" s="5" t="s">
        <v>92</v>
      </c>
      <c r="C19" s="5" t="s">
        <v>105</v>
      </c>
      <c r="D19" s="5" t="s">
        <v>106</v>
      </c>
      <c r="E19" s="5" t="s">
        <v>107</v>
      </c>
    </row>
    <row r="20" customFormat="false" ht="23.85" hidden="false" customHeight="false" outlineLevel="0" collapsed="false">
      <c r="A20" s="13" t="n">
        <v>16</v>
      </c>
      <c r="B20" s="14" t="s">
        <v>60</v>
      </c>
      <c r="C20" s="7" t="s">
        <v>108</v>
      </c>
      <c r="D20" s="7" t="s">
        <v>109</v>
      </c>
      <c r="E20" s="7" t="s">
        <v>110</v>
      </c>
    </row>
    <row r="21" customFormat="false" ht="23.85" hidden="false" customHeight="false" outlineLevel="0" collapsed="false">
      <c r="A21" s="11" t="n">
        <v>17</v>
      </c>
      <c r="B21" s="12" t="s">
        <v>60</v>
      </c>
      <c r="C21" s="5" t="s">
        <v>111</v>
      </c>
      <c r="D21" s="5" t="s">
        <v>112</v>
      </c>
      <c r="E21" s="5" t="s">
        <v>113</v>
      </c>
    </row>
    <row r="22" customFormat="false" ht="35.05" hidden="false" customHeight="false" outlineLevel="0" collapsed="false">
      <c r="A22" s="13" t="n">
        <v>18</v>
      </c>
      <c r="B22" s="7" t="s">
        <v>73</v>
      </c>
      <c r="C22" s="7" t="s">
        <v>114</v>
      </c>
      <c r="D22" s="7" t="s">
        <v>115</v>
      </c>
      <c r="E22" s="7" t="s">
        <v>116</v>
      </c>
    </row>
    <row r="23" customFormat="false" ht="15" hidden="false" customHeight="false" outlineLevel="0" collapsed="false">
      <c r="A23" s="11" t="n">
        <v>19</v>
      </c>
      <c r="B23" s="5" t="s">
        <v>73</v>
      </c>
      <c r="C23" s="5" t="s">
        <v>117</v>
      </c>
      <c r="D23" s="5" t="s">
        <v>118</v>
      </c>
      <c r="E23" s="5" t="s">
        <v>119</v>
      </c>
    </row>
    <row r="24" customFormat="false" ht="15" hidden="false" customHeight="false" outlineLevel="0" collapsed="false">
      <c r="A24" s="13" t="n">
        <v>20</v>
      </c>
      <c r="B24" s="7" t="s">
        <v>73</v>
      </c>
      <c r="C24" s="7" t="s">
        <v>120</v>
      </c>
      <c r="D24" s="7" t="s">
        <v>121</v>
      </c>
      <c r="E24" s="7" t="s">
        <v>122</v>
      </c>
    </row>
    <row r="25" customFormat="false" ht="35.05" hidden="false" customHeight="false" outlineLevel="0" collapsed="false">
      <c r="A25" s="11" t="n">
        <v>21</v>
      </c>
      <c r="B25" s="5" t="s">
        <v>73</v>
      </c>
      <c r="C25" s="5" t="s">
        <v>123</v>
      </c>
      <c r="D25" s="5" t="s">
        <v>124</v>
      </c>
      <c r="E25" s="5" t="s">
        <v>125</v>
      </c>
    </row>
    <row r="26" customFormat="false" ht="15" hidden="false" customHeight="false" outlineLevel="0" collapsed="false">
      <c r="A26" s="13" t="n">
        <v>22</v>
      </c>
      <c r="B26" s="7" t="s">
        <v>92</v>
      </c>
      <c r="C26" s="7" t="s">
        <v>126</v>
      </c>
      <c r="D26" s="7" t="s">
        <v>127</v>
      </c>
      <c r="E26" s="7" t="s">
        <v>128</v>
      </c>
    </row>
    <row r="27" customFormat="false" ht="15" hidden="false" customHeight="false" outlineLevel="0" collapsed="false">
      <c r="A27" s="11" t="n">
        <v>23</v>
      </c>
      <c r="B27" s="5" t="s">
        <v>129</v>
      </c>
      <c r="C27" s="5" t="s">
        <v>130</v>
      </c>
      <c r="D27" s="5" t="s">
        <v>131</v>
      </c>
      <c r="E27" s="5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10" min="8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20"/>
    <col collapsed="false" customWidth="true" hidden="false" outlineLevel="0" max="16" min="16" style="0" width="44"/>
  </cols>
  <sheetData>
    <row r="1" customFormat="false" ht="17.35" hidden="false" customHeight="false" outlineLevel="0" collapsed="false">
      <c r="A1" s="10" t="s">
        <v>133</v>
      </c>
    </row>
    <row r="2" customFormat="false" ht="15" hidden="false" customHeight="false" outlineLevel="0" collapsed="false">
      <c r="A2" s="2" t="s">
        <v>134</v>
      </c>
    </row>
    <row r="4" customFormat="false" ht="31.5" hidden="false" customHeight="true" outlineLevel="0" collapsed="false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142</v>
      </c>
      <c r="I4" s="4" t="s">
        <v>143</v>
      </c>
      <c r="J4" s="4" t="s">
        <v>144</v>
      </c>
      <c r="K4" s="4" t="s">
        <v>145</v>
      </c>
      <c r="L4" s="4" t="s">
        <v>146</v>
      </c>
      <c r="M4" s="4" t="s">
        <v>147</v>
      </c>
      <c r="N4" s="4" t="s">
        <v>148</v>
      </c>
      <c r="O4" s="4" t="s">
        <v>149</v>
      </c>
      <c r="P4" s="4" t="s">
        <v>150</v>
      </c>
    </row>
    <row r="5" customFormat="false" ht="23.85" hidden="false" customHeight="false" outlineLevel="0" collapsed="false">
      <c r="A5" s="5" t="s">
        <v>151</v>
      </c>
      <c r="B5" s="5" t="s">
        <v>152</v>
      </c>
      <c r="C5" s="5" t="s">
        <v>153</v>
      </c>
      <c r="D5" s="11" t="n">
        <v>900</v>
      </c>
      <c r="E5" s="5" t="s">
        <v>154</v>
      </c>
      <c r="F5" s="15" t="n">
        <v>37.3</v>
      </c>
      <c r="G5" s="16" t="n">
        <v>0.0024</v>
      </c>
      <c r="H5" s="17" t="n">
        <v>2.1</v>
      </c>
      <c r="I5" s="17" t="n">
        <v>2.39</v>
      </c>
      <c r="J5" s="18" t="n">
        <f aca="false">AVERAGE(H5:I5)</f>
        <v>2.245</v>
      </c>
      <c r="K5" s="19" t="n">
        <f aca="false">Paramètres!$B$9</f>
        <v>1.104</v>
      </c>
      <c r="L5" s="18" t="n">
        <f aca="false">K5+Paramètres!$B$7</f>
        <v>2.004</v>
      </c>
      <c r="M5" s="20" t="n">
        <f aca="false">L5*(J5+Paramètres!$B$6)*F5</f>
        <v>184.630524</v>
      </c>
      <c r="N5" s="20" t="n">
        <f aca="false">F5*(L5*Paramètres!$B$6+L5*K5/2-PI()*K5^2/8)</f>
        <v>40.2273068363027</v>
      </c>
      <c r="O5" s="5" t="s">
        <v>155</v>
      </c>
      <c r="P5" s="5" t="s">
        <v>156</v>
      </c>
    </row>
    <row r="6" customFormat="false" ht="23.85" hidden="false" customHeight="false" outlineLevel="0" collapsed="false">
      <c r="A6" s="7" t="s">
        <v>157</v>
      </c>
      <c r="B6" s="7" t="s">
        <v>153</v>
      </c>
      <c r="C6" s="7" t="s">
        <v>158</v>
      </c>
      <c r="D6" s="13" t="n">
        <v>900</v>
      </c>
      <c r="E6" s="7" t="s">
        <v>154</v>
      </c>
      <c r="F6" s="21" t="n">
        <v>103.8</v>
      </c>
      <c r="G6" s="22" t="n">
        <v>0.0023</v>
      </c>
      <c r="H6" s="23" t="n">
        <v>2.39</v>
      </c>
      <c r="I6" s="23" t="n">
        <v>1.45</v>
      </c>
      <c r="J6" s="24" t="n">
        <f aca="false">AVERAGE(H6:I6)</f>
        <v>1.92</v>
      </c>
      <c r="K6" s="25" t="n">
        <f aca="false">Paramètres!$B$9</f>
        <v>1.104</v>
      </c>
      <c r="L6" s="24" t="n">
        <f aca="false">K6+Paramètres!$B$7</f>
        <v>2.004</v>
      </c>
      <c r="M6" s="26" t="n">
        <f aca="false">L6*(J6+Paramètres!$B$6)*F6</f>
        <v>446.192604</v>
      </c>
      <c r="N6" s="26" t="n">
        <f aca="false">F6*(L6*Paramètres!$B$6+L6*K6/2-PI()*K6^2/8)</f>
        <v>111.946231892982</v>
      </c>
      <c r="O6" s="7" t="s">
        <v>155</v>
      </c>
      <c r="P6" s="7" t="s">
        <v>156</v>
      </c>
    </row>
    <row r="7" customFormat="false" ht="23.85" hidden="false" customHeight="false" outlineLevel="0" collapsed="false">
      <c r="A7" s="5" t="s">
        <v>159</v>
      </c>
      <c r="B7" s="5" t="s">
        <v>158</v>
      </c>
      <c r="C7" s="5" t="s">
        <v>160</v>
      </c>
      <c r="D7" s="11" t="n">
        <v>900</v>
      </c>
      <c r="E7" s="5" t="s">
        <v>154</v>
      </c>
      <c r="F7" s="15" t="n">
        <v>116.6</v>
      </c>
      <c r="G7" s="16" t="n">
        <v>0.0017</v>
      </c>
      <c r="H7" s="17" t="n">
        <v>1.45</v>
      </c>
      <c r="I7" s="17" t="n">
        <v>1.68</v>
      </c>
      <c r="J7" s="18" t="n">
        <f aca="false">AVERAGE(H7:I7)</f>
        <v>1.565</v>
      </c>
      <c r="K7" s="19" t="n">
        <f aca="false">Paramètres!$B$9</f>
        <v>1.104</v>
      </c>
      <c r="L7" s="18" t="n">
        <f aca="false">K7+Paramètres!$B$7</f>
        <v>2.004</v>
      </c>
      <c r="M7" s="20" t="n">
        <f aca="false">L7*(J7+Paramètres!$B$6)*F7</f>
        <v>418.262856</v>
      </c>
      <c r="N7" s="20" t="n">
        <f aca="false">F7*(L7*Paramètres!$B$6+L7*K7/2-PI()*K7^2/8)</f>
        <v>125.750776866298</v>
      </c>
      <c r="O7" s="5" t="s">
        <v>155</v>
      </c>
      <c r="P7" s="5" t="s">
        <v>161</v>
      </c>
    </row>
    <row r="8" customFormat="false" ht="23.85" hidden="false" customHeight="false" outlineLevel="0" collapsed="false">
      <c r="A8" s="7" t="s">
        <v>162</v>
      </c>
      <c r="B8" s="7" t="s">
        <v>160</v>
      </c>
      <c r="C8" s="7" t="s">
        <v>163</v>
      </c>
      <c r="D8" s="13" t="n">
        <v>900</v>
      </c>
      <c r="E8" s="7" t="s">
        <v>154</v>
      </c>
      <c r="F8" s="21" t="n">
        <v>94.7</v>
      </c>
      <c r="G8" s="22" t="n">
        <v>0.0019</v>
      </c>
      <c r="H8" s="23" t="n">
        <v>1.68</v>
      </c>
      <c r="I8" s="23" t="n">
        <v>1.43</v>
      </c>
      <c r="J8" s="24" t="n">
        <f aca="false">AVERAGE(H8:I8)</f>
        <v>1.555</v>
      </c>
      <c r="K8" s="25" t="n">
        <f aca="false">Paramètres!$B$9</f>
        <v>1.104</v>
      </c>
      <c r="L8" s="24" t="n">
        <f aca="false">K8+Paramètres!$B$7</f>
        <v>2.004</v>
      </c>
      <c r="M8" s="26" t="n">
        <f aca="false">L8*(J8+Paramètres!$B$6)*F8</f>
        <v>337.806264</v>
      </c>
      <c r="N8" s="26" t="n">
        <f aca="false">F8*(L8*Paramètres!$B$6+L8*K8/2-PI()*K8^2/8)</f>
        <v>102.132063201015</v>
      </c>
      <c r="O8" s="7" t="s">
        <v>155</v>
      </c>
      <c r="P8" s="7" t="s">
        <v>164</v>
      </c>
    </row>
    <row r="9" customFormat="false" ht="23.85" hidden="false" customHeight="false" outlineLevel="0" collapsed="false">
      <c r="A9" s="5" t="s">
        <v>165</v>
      </c>
      <c r="B9" s="5" t="s">
        <v>163</v>
      </c>
      <c r="C9" s="5" t="s">
        <v>166</v>
      </c>
      <c r="D9" s="11" t="n">
        <v>450</v>
      </c>
      <c r="E9" s="5" t="s">
        <v>167</v>
      </c>
      <c r="F9" s="15" t="n">
        <v>55.4</v>
      </c>
      <c r="G9" s="16" t="n">
        <v>0.0022</v>
      </c>
      <c r="H9" s="17" t="n">
        <v>1.43</v>
      </c>
      <c r="I9" s="17" t="n">
        <v>1.7</v>
      </c>
      <c r="J9" s="18" t="n">
        <f aca="false">AVERAGE(H9:I9)</f>
        <v>1.565</v>
      </c>
      <c r="K9" s="19" t="n">
        <f aca="false">Paramètres!$B$12</f>
        <v>0.475</v>
      </c>
      <c r="L9" s="18" t="n">
        <f aca="false">K9+Paramètres!$B$7</f>
        <v>1.375</v>
      </c>
      <c r="M9" s="20" t="n">
        <f aca="false">L9*(J9+Paramètres!$B$5)*F9</f>
        <v>134.448875</v>
      </c>
      <c r="N9" s="20" t="n">
        <f aca="false">F9*(L9*Paramètres!$B$5+L9*(K9+Paramètres!$B$8)-PI()*K9^2/4)</f>
        <v>64.4534424818432</v>
      </c>
      <c r="O9" s="5" t="s">
        <v>155</v>
      </c>
      <c r="P9" s="5" t="s">
        <v>168</v>
      </c>
    </row>
    <row r="10" customFormat="false" ht="23.85" hidden="false" customHeight="false" outlineLevel="0" collapsed="false">
      <c r="A10" s="7" t="s">
        <v>169</v>
      </c>
      <c r="B10" s="7" t="s">
        <v>166</v>
      </c>
      <c r="C10" s="7" t="s">
        <v>170</v>
      </c>
      <c r="D10" s="13" t="n">
        <v>375</v>
      </c>
      <c r="E10" s="7" t="s">
        <v>167</v>
      </c>
      <c r="F10" s="21" t="n">
        <v>6.2</v>
      </c>
      <c r="G10" s="22" t="n">
        <v>0.0081</v>
      </c>
      <c r="H10" s="23" t="n">
        <v>1.7</v>
      </c>
      <c r="I10" s="23" t="n">
        <v>1.58</v>
      </c>
      <c r="J10" s="24" t="n">
        <f aca="false">AVERAGE(H10:I10)</f>
        <v>1.64</v>
      </c>
      <c r="K10" s="25" t="n">
        <f aca="false">Paramètres!$B$11</f>
        <v>0.315</v>
      </c>
      <c r="L10" s="24" t="n">
        <f aca="false">K10+Paramètres!$B$7</f>
        <v>1.215</v>
      </c>
      <c r="M10" s="26" t="n">
        <f aca="false">L10*(J10+Paramètres!$B$5)*F10</f>
        <v>13.86072</v>
      </c>
      <c r="N10" s="26" t="n">
        <f aca="false">F10*(L10*Paramètres!$B$5+L10*(K10+Paramètres!$B$8)-PI()*K10^2/4)</f>
        <v>5.65622197686871</v>
      </c>
      <c r="O10" s="7" t="s">
        <v>155</v>
      </c>
      <c r="P10" s="7" t="s">
        <v>171</v>
      </c>
    </row>
    <row r="11" customFormat="false" ht="23.85" hidden="false" customHeight="false" outlineLevel="0" collapsed="false">
      <c r="A11" s="5" t="s">
        <v>172</v>
      </c>
      <c r="B11" s="5" t="s">
        <v>170</v>
      </c>
      <c r="C11" s="5" t="s">
        <v>173</v>
      </c>
      <c r="D11" s="11" t="n">
        <v>375</v>
      </c>
      <c r="E11" s="5" t="s">
        <v>167</v>
      </c>
      <c r="F11" s="15" t="n">
        <v>13.3</v>
      </c>
      <c r="G11" s="16" t="n">
        <v>0.042</v>
      </c>
      <c r="H11" s="17" t="n">
        <v>1.58</v>
      </c>
      <c r="I11" s="17" t="n">
        <v>2.3</v>
      </c>
      <c r="J11" s="18" t="n">
        <f aca="false">AVERAGE(H11:I11)</f>
        <v>1.94</v>
      </c>
      <c r="K11" s="19" t="n">
        <f aca="false">Paramètres!$B$11</f>
        <v>0.315</v>
      </c>
      <c r="L11" s="18" t="n">
        <f aca="false">K11+Paramètres!$B$7</f>
        <v>1.215</v>
      </c>
      <c r="M11" s="20" t="n">
        <f aca="false">L11*(J11+Paramètres!$B$5)*F11</f>
        <v>34.58133</v>
      </c>
      <c r="N11" s="20" t="n">
        <f aca="false">F11*(L11*Paramètres!$B$5+L11*(K11+Paramètres!$B$8)-PI()*K11^2/4)</f>
        <v>12.1335084342506</v>
      </c>
      <c r="O11" s="5" t="s">
        <v>155</v>
      </c>
      <c r="P11" s="5" t="s">
        <v>174</v>
      </c>
    </row>
    <row r="12" customFormat="false" ht="23.85" hidden="false" customHeight="false" outlineLevel="0" collapsed="false">
      <c r="A12" s="7" t="s">
        <v>175</v>
      </c>
      <c r="B12" s="7" t="s">
        <v>16</v>
      </c>
      <c r="C12" s="7" t="s">
        <v>176</v>
      </c>
      <c r="D12" s="13" t="n">
        <v>200</v>
      </c>
      <c r="E12" s="7" t="s">
        <v>167</v>
      </c>
      <c r="F12" s="21" t="n">
        <v>27.4</v>
      </c>
      <c r="G12" s="22" t="n">
        <v>0.0146</v>
      </c>
      <c r="H12" s="23" t="n">
        <v>0.6</v>
      </c>
      <c r="I12" s="23" t="n">
        <v>0.9</v>
      </c>
      <c r="J12" s="24" t="n">
        <f aca="false">AVERAGE(H12:I12)</f>
        <v>0.75</v>
      </c>
      <c r="K12" s="25" t="n">
        <f aca="false">0.22</f>
        <v>0.22</v>
      </c>
      <c r="L12" s="24" t="n">
        <f aca="false">K12+Paramètres!$B$7</f>
        <v>1.12</v>
      </c>
      <c r="M12" s="26" t="n">
        <f aca="false">L12*(J12+Paramètres!$B$5)*F12</f>
        <v>29.1536</v>
      </c>
      <c r="N12" s="26" t="n">
        <f aca="false">F12*(L12*Paramètres!$B$5+L12*(K12+Paramètres!$B$8)-PI()*K12^2/4)</f>
        <v>21.0537963716288</v>
      </c>
      <c r="O12" s="7" t="s">
        <v>155</v>
      </c>
      <c r="P12" s="7" t="s">
        <v>177</v>
      </c>
    </row>
    <row r="13" customFormat="false" ht="23.85" hidden="false" customHeight="false" outlineLevel="0" collapsed="false">
      <c r="A13" s="5" t="s">
        <v>178</v>
      </c>
      <c r="B13" s="5" t="s">
        <v>179</v>
      </c>
      <c r="C13" s="5" t="s">
        <v>152</v>
      </c>
      <c r="D13" s="11" t="n">
        <v>300</v>
      </c>
      <c r="E13" s="5" t="s">
        <v>167</v>
      </c>
      <c r="F13" s="15" t="n">
        <v>13.2</v>
      </c>
      <c r="G13" s="16" t="n">
        <v>0.0129</v>
      </c>
      <c r="H13" s="17" t="n">
        <v>1.73</v>
      </c>
      <c r="I13" s="17" t="n">
        <v>2.1</v>
      </c>
      <c r="J13" s="18" t="n">
        <f aca="false">AVERAGE(H13:I13)</f>
        <v>1.915</v>
      </c>
      <c r="K13" s="19" t="n">
        <f aca="false">Paramètres!$B$11</f>
        <v>0.315</v>
      </c>
      <c r="L13" s="18" t="n">
        <f aca="false">K13+Paramètres!$B$7</f>
        <v>1.215</v>
      </c>
      <c r="M13" s="20" t="n">
        <f aca="false">L13*(J13+Paramètres!$B$5)*F13</f>
        <v>33.92037</v>
      </c>
      <c r="N13" s="20" t="n">
        <f aca="false">F13*(L13*Paramètres!$B$5+L13*(K13+Paramètres!$B$8)-PI()*K13^2/4)</f>
        <v>12.0422790475269</v>
      </c>
      <c r="O13" s="5" t="s">
        <v>155</v>
      </c>
      <c r="P13" s="5"/>
    </row>
    <row r="14" customFormat="false" ht="23.85" hidden="false" customHeight="false" outlineLevel="0" collapsed="false">
      <c r="A14" s="7" t="s">
        <v>180</v>
      </c>
      <c r="B14" s="7" t="s">
        <v>181</v>
      </c>
      <c r="C14" s="7" t="s">
        <v>182</v>
      </c>
      <c r="D14" s="13" t="n">
        <v>300</v>
      </c>
      <c r="E14" s="7" t="s">
        <v>167</v>
      </c>
      <c r="F14" s="21" t="n">
        <v>25</v>
      </c>
      <c r="G14" s="27"/>
      <c r="H14" s="23" t="n">
        <v>1.73</v>
      </c>
      <c r="I14" s="23" t="n">
        <v>2.1</v>
      </c>
      <c r="J14" s="24" t="n">
        <f aca="false">AVERAGE(H14:I14)</f>
        <v>1.915</v>
      </c>
      <c r="K14" s="25" t="n">
        <f aca="false">Paramètres!$B$11</f>
        <v>0.315</v>
      </c>
      <c r="L14" s="24" t="n">
        <f aca="false">K14+Paramètres!$B$7</f>
        <v>1.215</v>
      </c>
      <c r="M14" s="26" t="n">
        <f aca="false">L14*(J14+Paramètres!$B$5)*F14</f>
        <v>64.243125</v>
      </c>
      <c r="N14" s="26" t="n">
        <f aca="false">F14*(L14*Paramètres!$B$5+L14*(K14+Paramètres!$B$8)-PI()*K14^2/4)</f>
        <v>22.8073466809222</v>
      </c>
      <c r="O14" s="7" t="s">
        <v>155</v>
      </c>
      <c r="P14" s="7" t="s">
        <v>183</v>
      </c>
    </row>
    <row r="15" customFormat="false" ht="23.85" hidden="false" customHeight="false" outlineLevel="0" collapsed="false">
      <c r="A15" s="5" t="s">
        <v>184</v>
      </c>
      <c r="B15" s="5" t="s">
        <v>185</v>
      </c>
      <c r="C15" s="5" t="s">
        <v>186</v>
      </c>
      <c r="D15" s="11" t="n">
        <v>300</v>
      </c>
      <c r="E15" s="5" t="s">
        <v>167</v>
      </c>
      <c r="F15" s="15" t="n">
        <v>24.6</v>
      </c>
      <c r="G15" s="28"/>
      <c r="H15" s="17" t="n">
        <v>1.2</v>
      </c>
      <c r="I15" s="17" t="n">
        <v>1.8</v>
      </c>
      <c r="J15" s="18" t="n">
        <f aca="false">AVERAGE(H15:I15)</f>
        <v>1.5</v>
      </c>
      <c r="K15" s="19" t="n">
        <f aca="false">Paramètres!$B$11</f>
        <v>0.315</v>
      </c>
      <c r="L15" s="18" t="n">
        <f aca="false">K15+Paramètres!$B$7</f>
        <v>1.215</v>
      </c>
      <c r="M15" s="20" t="n">
        <f aca="false">L15*(J15+Paramètres!$B$5)*F15</f>
        <v>50.8113</v>
      </c>
      <c r="N15" s="20" t="n">
        <f aca="false">F15*(L15*Paramètres!$B$5+L15*(K15+Paramètres!$B$8)-PI()*K15^2/4)</f>
        <v>22.4424291340275</v>
      </c>
      <c r="O15" s="5" t="s">
        <v>155</v>
      </c>
      <c r="P15" s="5" t="s">
        <v>187</v>
      </c>
    </row>
    <row r="16" customFormat="false" ht="23.85" hidden="false" customHeight="false" outlineLevel="0" collapsed="false">
      <c r="A16" s="7" t="s">
        <v>188</v>
      </c>
      <c r="B16" s="7" t="s">
        <v>93</v>
      </c>
      <c r="C16" s="7" t="s">
        <v>186</v>
      </c>
      <c r="D16" s="13" t="n">
        <v>300</v>
      </c>
      <c r="E16" s="7" t="s">
        <v>167</v>
      </c>
      <c r="F16" s="21" t="n">
        <v>15.6</v>
      </c>
      <c r="G16" s="27"/>
      <c r="H16" s="23" t="n">
        <v>0.73</v>
      </c>
      <c r="I16" s="23" t="n">
        <v>1.6</v>
      </c>
      <c r="J16" s="24" t="n">
        <f aca="false">AVERAGE(H16:I16)</f>
        <v>1.165</v>
      </c>
      <c r="K16" s="25" t="n">
        <f aca="false">Paramètres!$B$11</f>
        <v>0.315</v>
      </c>
      <c r="L16" s="24" t="n">
        <f aca="false">K16+Paramètres!$B$7</f>
        <v>1.215</v>
      </c>
      <c r="M16" s="26" t="n">
        <f aca="false">L16*(J16+Paramètres!$B$5)*F16</f>
        <v>25.87221</v>
      </c>
      <c r="N16" s="26" t="n">
        <f aca="false">F16*(L16*Paramètres!$B$5+L16*(K16+Paramètres!$B$8)-PI()*K16^2/4)</f>
        <v>14.2317843288955</v>
      </c>
      <c r="O16" s="7" t="s">
        <v>155</v>
      </c>
      <c r="P16" s="7" t="s">
        <v>189</v>
      </c>
    </row>
    <row r="17" customFormat="false" ht="23.85" hidden="false" customHeight="false" outlineLevel="0" collapsed="false">
      <c r="A17" s="5" t="s">
        <v>190</v>
      </c>
      <c r="B17" s="5" t="s">
        <v>191</v>
      </c>
      <c r="C17" s="5" t="s">
        <v>192</v>
      </c>
      <c r="D17" s="11" t="n">
        <v>300</v>
      </c>
      <c r="E17" s="5" t="s">
        <v>167</v>
      </c>
      <c r="F17" s="15" t="n">
        <v>10.8</v>
      </c>
      <c r="G17" s="28"/>
      <c r="H17" s="17" t="n">
        <v>1.02</v>
      </c>
      <c r="I17" s="17" t="n">
        <v>1.45</v>
      </c>
      <c r="J17" s="18" t="n">
        <f aca="false">AVERAGE(H17:I17)</f>
        <v>1.235</v>
      </c>
      <c r="K17" s="19" t="n">
        <f aca="false">Paramètres!$B$11</f>
        <v>0.315</v>
      </c>
      <c r="L17" s="18" t="n">
        <f aca="false">K17+Paramètres!$B$7</f>
        <v>1.215</v>
      </c>
      <c r="M17" s="20" t="n">
        <f aca="false">L17*(J17+Paramètres!$B$5)*F17</f>
        <v>18.83007</v>
      </c>
      <c r="N17" s="20" t="n">
        <f aca="false">F17*(L17*Paramètres!$B$5+L17*(K17+Paramètres!$B$8)-PI()*K17^2/4)</f>
        <v>9.85277376615839</v>
      </c>
      <c r="O17" s="5" t="s">
        <v>155</v>
      </c>
      <c r="P17" s="5"/>
    </row>
    <row r="18" customFormat="false" ht="23.85" hidden="false" customHeight="false" outlineLevel="0" collapsed="false">
      <c r="A18" s="7" t="s">
        <v>193</v>
      </c>
      <c r="B18" s="7" t="s">
        <v>194</v>
      </c>
      <c r="C18" s="7" t="s">
        <v>192</v>
      </c>
      <c r="D18" s="13" t="n">
        <v>300</v>
      </c>
      <c r="E18" s="7" t="s">
        <v>167</v>
      </c>
      <c r="F18" s="21" t="n">
        <v>14.6</v>
      </c>
      <c r="G18" s="27"/>
      <c r="H18" s="23" t="n">
        <v>1.33</v>
      </c>
      <c r="I18" s="23" t="n">
        <v>1.6</v>
      </c>
      <c r="J18" s="24" t="n">
        <f aca="false">AVERAGE(H18:I18)</f>
        <v>1.465</v>
      </c>
      <c r="K18" s="25" t="n">
        <f aca="false">Paramètres!$B$11</f>
        <v>0.315</v>
      </c>
      <c r="L18" s="24" t="n">
        <f aca="false">K18+Paramètres!$B$7</f>
        <v>1.215</v>
      </c>
      <c r="M18" s="26" t="n">
        <f aca="false">L18*(J18+Paramètres!$B$5)*F18</f>
        <v>29.535435</v>
      </c>
      <c r="N18" s="26" t="n">
        <f aca="false">F18*(L18*Paramètres!$B$5+L18*(K18+Paramètres!$B$8)-PI()*K18^2/4)</f>
        <v>13.3194904616586</v>
      </c>
      <c r="O18" s="7" t="s">
        <v>155</v>
      </c>
      <c r="P18" s="7"/>
    </row>
    <row r="19" customFormat="false" ht="23.85" hidden="false" customHeight="false" outlineLevel="0" collapsed="false">
      <c r="A19" s="5" t="s">
        <v>195</v>
      </c>
      <c r="B19" s="5" t="s">
        <v>196</v>
      </c>
      <c r="C19" s="5" t="s">
        <v>160</v>
      </c>
      <c r="D19" s="11" t="n">
        <v>300</v>
      </c>
      <c r="E19" s="5" t="s">
        <v>167</v>
      </c>
      <c r="F19" s="15" t="n">
        <v>24.8</v>
      </c>
      <c r="G19" s="28"/>
      <c r="H19" s="17" t="n">
        <v>1.2</v>
      </c>
      <c r="I19" s="17" t="n">
        <v>1.68</v>
      </c>
      <c r="J19" s="18" t="n">
        <f aca="false">AVERAGE(H19:I19)</f>
        <v>1.44</v>
      </c>
      <c r="K19" s="19" t="n">
        <f aca="false">Paramètres!$B$11</f>
        <v>0.315</v>
      </c>
      <c r="L19" s="18" t="n">
        <f aca="false">K19+Paramètres!$B$7</f>
        <v>1.215</v>
      </c>
      <c r="M19" s="20" t="n">
        <f aca="false">L19*(J19+Paramètres!$B$5)*F19</f>
        <v>49.41648</v>
      </c>
      <c r="N19" s="20" t="n">
        <f aca="false">F19*(L19*Paramètres!$B$5+L19*(K19+Paramètres!$B$8)-PI()*K19^2/4)</f>
        <v>22.6248879074748</v>
      </c>
      <c r="O19" s="5" t="s">
        <v>155</v>
      </c>
      <c r="P19" s="5" t="s">
        <v>197</v>
      </c>
    </row>
    <row r="20" customFormat="false" ht="23.85" hidden="false" customHeight="false" outlineLevel="0" collapsed="false">
      <c r="A20" s="7" t="s">
        <v>198</v>
      </c>
      <c r="B20" s="7" t="s">
        <v>199</v>
      </c>
      <c r="C20" s="7" t="s">
        <v>160</v>
      </c>
      <c r="D20" s="13" t="n">
        <v>300</v>
      </c>
      <c r="E20" s="7" t="s">
        <v>167</v>
      </c>
      <c r="F20" s="21" t="n">
        <v>10.5</v>
      </c>
      <c r="G20" s="27"/>
      <c r="H20" s="23" t="n">
        <v>1.43</v>
      </c>
      <c r="I20" s="23" t="n">
        <v>1.68</v>
      </c>
      <c r="J20" s="24" t="n">
        <f aca="false">AVERAGE(H20:I20)</f>
        <v>1.555</v>
      </c>
      <c r="K20" s="25" t="n">
        <f aca="false">Paramètres!$B$11</f>
        <v>0.315</v>
      </c>
      <c r="L20" s="24" t="n">
        <f aca="false">K20+Paramètres!$B$7</f>
        <v>1.215</v>
      </c>
      <c r="M20" s="26" t="n">
        <f aca="false">L20*(J20+Paramètres!$B$5)*F20</f>
        <v>22.3894125</v>
      </c>
      <c r="N20" s="26" t="n">
        <f aca="false">F20*(L20*Paramètres!$B$5+L20*(K20+Paramètres!$B$8)-PI()*K20^2/4)</f>
        <v>9.57908560598733</v>
      </c>
      <c r="O20" s="7" t="s">
        <v>155</v>
      </c>
      <c r="P20" s="7"/>
    </row>
    <row r="21" customFormat="false" ht="23.85" hidden="false" customHeight="false" outlineLevel="0" collapsed="false">
      <c r="A21" s="5" t="s">
        <v>200</v>
      </c>
      <c r="B21" s="5" t="s">
        <v>201</v>
      </c>
      <c r="C21" s="5" t="s">
        <v>163</v>
      </c>
      <c r="D21" s="11" t="n">
        <v>300</v>
      </c>
      <c r="E21" s="5" t="s">
        <v>167</v>
      </c>
      <c r="F21" s="15" t="n">
        <v>6.3</v>
      </c>
      <c r="G21" s="28"/>
      <c r="H21" s="17" t="n">
        <v>1.33</v>
      </c>
      <c r="I21" s="17" t="n">
        <v>1.43</v>
      </c>
      <c r="J21" s="18" t="n">
        <f aca="false">AVERAGE(H21:I21)</f>
        <v>1.38</v>
      </c>
      <c r="K21" s="19" t="n">
        <f aca="false">Paramètres!$B$11</f>
        <v>0.315</v>
      </c>
      <c r="L21" s="18" t="n">
        <f aca="false">K21+Paramètres!$B$7</f>
        <v>1.215</v>
      </c>
      <c r="M21" s="20" t="n">
        <f aca="false">L21*(J21+Paramètres!$B$5)*F21</f>
        <v>12.09411</v>
      </c>
      <c r="N21" s="20" t="n">
        <f aca="false">F21*(L21*Paramètres!$B$5+L21*(K21+Paramètres!$B$8)-PI()*K21^2/4)</f>
        <v>5.7474513635924</v>
      </c>
      <c r="O21" s="5" t="s">
        <v>155</v>
      </c>
      <c r="P21" s="5"/>
    </row>
    <row r="22" customFormat="false" ht="23.85" hidden="false" customHeight="false" outlineLevel="0" collapsed="false">
      <c r="A22" s="7" t="s">
        <v>202</v>
      </c>
      <c r="B22" s="7" t="s">
        <v>203</v>
      </c>
      <c r="C22" s="7" t="s">
        <v>204</v>
      </c>
      <c r="D22" s="13" t="n">
        <v>300</v>
      </c>
      <c r="E22" s="7" t="s">
        <v>167</v>
      </c>
      <c r="F22" s="21" t="n">
        <v>5.3</v>
      </c>
      <c r="G22" s="27"/>
      <c r="H22" s="23" t="n">
        <v>1.43</v>
      </c>
      <c r="I22" s="23" t="n">
        <v>1.5</v>
      </c>
      <c r="J22" s="24" t="n">
        <f aca="false">AVERAGE(H22:I22)</f>
        <v>1.465</v>
      </c>
      <c r="K22" s="25" t="n">
        <f aca="false">Paramètres!$B$11</f>
        <v>0.315</v>
      </c>
      <c r="L22" s="24" t="n">
        <f aca="false">K22+Paramètres!$B$7</f>
        <v>1.215</v>
      </c>
      <c r="M22" s="26" t="n">
        <f aca="false">L22*(J22+Paramètres!$B$5)*F22</f>
        <v>10.7217675</v>
      </c>
      <c r="N22" s="26" t="n">
        <f aca="false">F22*(L22*Paramètres!$B$5+L22*(K22+Paramètres!$B$8)-PI()*K22^2/4)</f>
        <v>4.83515749635551</v>
      </c>
      <c r="O22" s="7" t="s">
        <v>155</v>
      </c>
      <c r="P22" s="7"/>
    </row>
    <row r="23" customFormat="false" ht="15" hidden="false" customHeight="false" outlineLevel="0" collapsed="false">
      <c r="A23" s="5" t="s">
        <v>205</v>
      </c>
      <c r="B23" s="5" t="s">
        <v>206</v>
      </c>
      <c r="C23" s="5" t="s">
        <v>204</v>
      </c>
      <c r="D23" s="11" t="n">
        <v>300</v>
      </c>
      <c r="E23" s="5" t="s">
        <v>167</v>
      </c>
      <c r="F23" s="15" t="n">
        <v>2</v>
      </c>
      <c r="G23" s="28"/>
      <c r="H23" s="17" t="n">
        <v>1.4</v>
      </c>
      <c r="I23" s="17" t="n">
        <v>1.43</v>
      </c>
      <c r="J23" s="18" t="n">
        <f aca="false">AVERAGE(H23:I23)</f>
        <v>1.415</v>
      </c>
      <c r="K23" s="19" t="n">
        <f aca="false">Paramètres!$B$11</f>
        <v>0.315</v>
      </c>
      <c r="L23" s="18" t="n">
        <f aca="false">K23+Paramètres!$B$7</f>
        <v>1.215</v>
      </c>
      <c r="M23" s="20" t="n">
        <f aca="false">L23*(J23+Paramètres!$B$5)*F23</f>
        <v>3.92445</v>
      </c>
      <c r="N23" s="20" t="n">
        <f aca="false">F23*(L23*Paramètres!$B$5+L23*(K23+Paramètres!$B$8)-PI()*K23^2/4)</f>
        <v>1.82458773447378</v>
      </c>
      <c r="O23" s="5" t="s">
        <v>207</v>
      </c>
      <c r="P23" s="5" t="s">
        <v>208</v>
      </c>
    </row>
    <row r="24" customFormat="false" ht="15" hidden="false" customHeight="false" outlineLevel="0" collapsed="false">
      <c r="A24" s="7" t="s">
        <v>209</v>
      </c>
      <c r="B24" s="7" t="s">
        <v>210</v>
      </c>
      <c r="C24" s="7" t="s">
        <v>211</v>
      </c>
      <c r="D24" s="13" t="n">
        <v>300</v>
      </c>
      <c r="E24" s="7" t="s">
        <v>167</v>
      </c>
      <c r="F24" s="21" t="n">
        <v>2</v>
      </c>
      <c r="G24" s="27"/>
      <c r="H24" s="23" t="n">
        <v>1.4</v>
      </c>
      <c r="I24" s="23" t="n">
        <v>1.5</v>
      </c>
      <c r="J24" s="24" t="n">
        <f aca="false">AVERAGE(H24:I24)</f>
        <v>1.45</v>
      </c>
      <c r="K24" s="25" t="n">
        <f aca="false">Paramètres!$B$11</f>
        <v>0.315</v>
      </c>
      <c r="L24" s="24" t="n">
        <f aca="false">K24+Paramètres!$B$7</f>
        <v>1.215</v>
      </c>
      <c r="M24" s="26" t="n">
        <f aca="false">L24*(J24+Paramètres!$B$5)*F24</f>
        <v>4.0095</v>
      </c>
      <c r="N24" s="26" t="n">
        <f aca="false">F24*(L24*Paramètres!$B$5+L24*(K24+Paramètres!$B$8)-PI()*K24^2/4)</f>
        <v>1.82458773447378</v>
      </c>
      <c r="O24" s="7" t="s">
        <v>207</v>
      </c>
      <c r="P24" s="7" t="s">
        <v>208</v>
      </c>
    </row>
    <row r="25" customFormat="false" ht="23.85" hidden="false" customHeight="false" outlineLevel="0" collapsed="false">
      <c r="A25" s="5" t="s">
        <v>212</v>
      </c>
      <c r="B25" s="5" t="s">
        <v>86</v>
      </c>
      <c r="C25" s="5" t="s">
        <v>213</v>
      </c>
      <c r="D25" s="11" t="n">
        <v>200</v>
      </c>
      <c r="E25" s="5" t="s">
        <v>214</v>
      </c>
      <c r="F25" s="15" t="n">
        <v>330</v>
      </c>
      <c r="G25" s="28"/>
      <c r="H25" s="17" t="n">
        <v>0.6</v>
      </c>
      <c r="I25" s="17" t="n">
        <v>0.6</v>
      </c>
      <c r="J25" s="18" t="n">
        <f aca="false">AVERAGE(H25:I25)</f>
        <v>0.6</v>
      </c>
      <c r="K25" s="19" t="n">
        <f aca="false">0.22</f>
        <v>0.22</v>
      </c>
      <c r="L25" s="18" t="n">
        <f aca="false">1</f>
        <v>1</v>
      </c>
      <c r="M25" s="20" t="n">
        <f aca="false">0</f>
        <v>0</v>
      </c>
      <c r="N25" s="20" t="n">
        <f aca="false">0</f>
        <v>0</v>
      </c>
      <c r="O25" s="5" t="s">
        <v>207</v>
      </c>
      <c r="P25" s="5" t="s">
        <v>215</v>
      </c>
    </row>
    <row r="26" customFormat="false" ht="15" hidden="false" customHeight="false" outlineLevel="0" collapsed="false">
      <c r="A26" s="29" t="s">
        <v>216</v>
      </c>
      <c r="B26" s="30"/>
      <c r="C26" s="30"/>
      <c r="D26" s="30"/>
      <c r="E26" s="30"/>
      <c r="F26" s="31" t="n">
        <f aca="false">SUM(F5:F25)</f>
        <v>939.4</v>
      </c>
      <c r="G26" s="30"/>
      <c r="H26" s="30"/>
      <c r="I26" s="30"/>
      <c r="J26" s="30"/>
      <c r="K26" s="30"/>
      <c r="L26" s="30"/>
      <c r="M26" s="31" t="n">
        <f aca="false">SUM(M5:M25)</f>
        <v>1924.705003</v>
      </c>
      <c r="N26" s="31" t="n">
        <f aca="false">SUM(N5:N25)</f>
        <v>624.485209322735</v>
      </c>
      <c r="O26" s="30"/>
      <c r="P26" s="30"/>
    </row>
    <row r="28" customFormat="false" ht="15" hidden="false" customHeight="false" outlineLevel="0" collapsed="false">
      <c r="A28" s="32" t="s">
        <v>217</v>
      </c>
    </row>
    <row r="29" customFormat="false" ht="15" hidden="false" customHeight="false" outlineLevel="0" collapsed="false">
      <c r="A29" s="33" t="s">
        <v>218</v>
      </c>
      <c r="F29" s="34" t="n">
        <f aca="false">SUMIFS(F5:F25,D5:D25,900,A5:A25,"&lt;&gt;DR*")</f>
        <v>352.4</v>
      </c>
      <c r="G29" s="33" t="s">
        <v>8</v>
      </c>
    </row>
    <row r="30" customFormat="false" ht="15" hidden="false" customHeight="false" outlineLevel="0" collapsed="false">
      <c r="A30" s="33" t="s">
        <v>219</v>
      </c>
      <c r="F30" s="34" t="n">
        <f aca="false">SUMIFS(F5:F25,D5:D25,450,A5:A25,"&lt;&gt;DR*")</f>
        <v>55.4</v>
      </c>
      <c r="G30" s="33" t="s">
        <v>8</v>
      </c>
    </row>
    <row r="31" customFormat="false" ht="15" hidden="false" customHeight="false" outlineLevel="0" collapsed="false">
      <c r="A31" s="33" t="s">
        <v>220</v>
      </c>
      <c r="F31" s="34" t="n">
        <f aca="false">SUMIFS(F5:F25,D5:D25,375,A5:A25,"&lt;&gt;DR*")</f>
        <v>19.5</v>
      </c>
      <c r="G31" s="33" t="s">
        <v>8</v>
      </c>
    </row>
    <row r="32" customFormat="false" ht="15" hidden="false" customHeight="false" outlineLevel="0" collapsed="false">
      <c r="A32" s="33" t="s">
        <v>221</v>
      </c>
      <c r="F32" s="34" t="n">
        <f aca="false">SUMIFS(F5:F25,D5:D25,300,A5:A25,"&lt;&gt;DR*")</f>
        <v>154.7</v>
      </c>
      <c r="G32" s="33" t="s">
        <v>8</v>
      </c>
    </row>
    <row r="33" customFormat="false" ht="15" hidden="false" customHeight="false" outlineLevel="0" collapsed="false">
      <c r="A33" s="33" t="s">
        <v>222</v>
      </c>
      <c r="F33" s="34" t="n">
        <f aca="false">SUMIFS(F5:F25,D5:D25,200,A5:A25,"&lt;&gt;DR*")</f>
        <v>27.4</v>
      </c>
      <c r="G33" s="33" t="s">
        <v>8</v>
      </c>
    </row>
    <row r="34" customFormat="false" ht="15" hidden="false" customHeight="false" outlineLevel="0" collapsed="false">
      <c r="A34" s="33" t="s">
        <v>17</v>
      </c>
      <c r="F34" s="35" t="n">
        <f aca="false">SUMIFS(F5:F25,A5:A25,"DR*")</f>
        <v>330</v>
      </c>
      <c r="G34" s="36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6"/>
    <col collapsed="false" customWidth="true" hidden="false" outlineLevel="0" max="7" min="4" style="0" width="9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20"/>
    <col collapsed="false" customWidth="true" hidden="false" outlineLevel="0" max="11" min="11" style="0" width="50"/>
  </cols>
  <sheetData>
    <row r="1" customFormat="false" ht="17.35" hidden="false" customHeight="false" outlineLevel="0" collapsed="false">
      <c r="A1" s="10" t="s">
        <v>223</v>
      </c>
    </row>
    <row r="2" customFormat="false" ht="15" hidden="false" customHeight="false" outlineLevel="0" collapsed="false">
      <c r="A2" s="2" t="s">
        <v>224</v>
      </c>
    </row>
    <row r="4" customFormat="false" ht="31.5" hidden="false" customHeight="true" outlineLevel="0" collapsed="false">
      <c r="A4" s="4" t="s">
        <v>225</v>
      </c>
      <c r="B4" s="4" t="s">
        <v>226</v>
      </c>
      <c r="C4" s="4" t="s">
        <v>227</v>
      </c>
      <c r="D4" s="4" t="s">
        <v>228</v>
      </c>
      <c r="E4" s="4" t="s">
        <v>229</v>
      </c>
      <c r="F4" s="4" t="s">
        <v>230</v>
      </c>
      <c r="G4" s="4" t="s">
        <v>231</v>
      </c>
      <c r="H4" s="4" t="s">
        <v>232</v>
      </c>
      <c r="I4" s="4" t="s">
        <v>233</v>
      </c>
      <c r="J4" s="4" t="s">
        <v>149</v>
      </c>
      <c r="K4" s="4" t="s">
        <v>150</v>
      </c>
    </row>
    <row r="5" customFormat="false" ht="23.85" hidden="false" customHeight="false" outlineLevel="0" collapsed="false">
      <c r="A5" s="5" t="s">
        <v>166</v>
      </c>
      <c r="B5" s="5" t="s">
        <v>234</v>
      </c>
      <c r="C5" s="5" t="s">
        <v>235</v>
      </c>
      <c r="D5" s="17" t="n">
        <v>20.5</v>
      </c>
      <c r="E5" s="17" t="n">
        <v>18.8</v>
      </c>
      <c r="F5" s="37"/>
      <c r="G5" s="17" t="n">
        <v>18.35</v>
      </c>
      <c r="H5" s="18" t="n">
        <f aca="false">IF(D5="","",IF(G5&lt;&gt;"",D5-G5,D5-E5))</f>
        <v>2.15</v>
      </c>
      <c r="I5" s="38" t="n">
        <v>1</v>
      </c>
      <c r="J5" s="5" t="s">
        <v>155</v>
      </c>
      <c r="K5" s="5" t="s">
        <v>236</v>
      </c>
    </row>
    <row r="6" customFormat="false" ht="23.85" hidden="false" customHeight="false" outlineLevel="0" collapsed="false">
      <c r="A6" s="7" t="s">
        <v>163</v>
      </c>
      <c r="B6" s="7" t="s">
        <v>237</v>
      </c>
      <c r="C6" s="7" t="s">
        <v>238</v>
      </c>
      <c r="D6" s="23" t="n">
        <v>20.35</v>
      </c>
      <c r="E6" s="23" t="n">
        <v>18.92</v>
      </c>
      <c r="F6" s="39"/>
      <c r="G6" s="40"/>
      <c r="H6" s="24" t="n">
        <f aca="false">IF(D6="","",IF(G6&lt;&gt;"",D6-G6,D6-E6))</f>
        <v>1.43</v>
      </c>
      <c r="I6" s="41" t="n">
        <v>1</v>
      </c>
      <c r="J6" s="7" t="s">
        <v>155</v>
      </c>
      <c r="K6" s="7" t="s">
        <v>239</v>
      </c>
    </row>
    <row r="7" customFormat="false" ht="23.85" hidden="false" customHeight="false" outlineLevel="0" collapsed="false">
      <c r="A7" s="5" t="s">
        <v>160</v>
      </c>
      <c r="B7" s="5" t="s">
        <v>237</v>
      </c>
      <c r="C7" s="5" t="s">
        <v>240</v>
      </c>
      <c r="D7" s="17" t="n">
        <v>20.78</v>
      </c>
      <c r="E7" s="17" t="n">
        <v>19.1</v>
      </c>
      <c r="F7" s="37"/>
      <c r="G7" s="42"/>
      <c r="H7" s="18" t="n">
        <f aca="false">IF(D7="","",IF(G7&lt;&gt;"",D7-G7,D7-E7))</f>
        <v>1.68</v>
      </c>
      <c r="I7" s="38" t="n">
        <v>1</v>
      </c>
      <c r="J7" s="5" t="s">
        <v>155</v>
      </c>
      <c r="K7" s="5" t="s">
        <v>241</v>
      </c>
    </row>
    <row r="8" customFormat="false" ht="23.85" hidden="false" customHeight="false" outlineLevel="0" collapsed="false">
      <c r="A8" s="7" t="s">
        <v>158</v>
      </c>
      <c r="B8" s="7" t="s">
        <v>237</v>
      </c>
      <c r="C8" s="7" t="s">
        <v>238</v>
      </c>
      <c r="D8" s="23" t="n">
        <v>20.75</v>
      </c>
      <c r="E8" s="23" t="n">
        <v>19.3</v>
      </c>
      <c r="F8" s="39"/>
      <c r="G8" s="40"/>
      <c r="H8" s="24" t="n">
        <f aca="false">IF(D8="","",IF(G8&lt;&gt;"",D8-G8,D8-E8))</f>
        <v>1.45</v>
      </c>
      <c r="I8" s="41" t="n">
        <v>1</v>
      </c>
      <c r="J8" s="7" t="s">
        <v>155</v>
      </c>
      <c r="K8" s="7"/>
    </row>
    <row r="9" customFormat="false" ht="23.85" hidden="false" customHeight="false" outlineLevel="0" collapsed="false">
      <c r="A9" s="5" t="s">
        <v>153</v>
      </c>
      <c r="B9" s="5" t="s">
        <v>237</v>
      </c>
      <c r="C9" s="5" t="s">
        <v>238</v>
      </c>
      <c r="D9" s="17" t="n">
        <v>21.93</v>
      </c>
      <c r="E9" s="17" t="n">
        <v>19.54</v>
      </c>
      <c r="F9" s="37"/>
      <c r="G9" s="42"/>
      <c r="H9" s="18" t="n">
        <f aca="false">IF(D9="","",IF(G9&lt;&gt;"",D9-G9,D9-E9))</f>
        <v>2.39</v>
      </c>
      <c r="I9" s="38" t="n">
        <v>1</v>
      </c>
      <c r="J9" s="5" t="s">
        <v>155</v>
      </c>
      <c r="K9" s="5"/>
    </row>
    <row r="10" customFormat="false" ht="23.85" hidden="false" customHeight="false" outlineLevel="0" collapsed="false">
      <c r="A10" s="7" t="s">
        <v>152</v>
      </c>
      <c r="B10" s="7" t="s">
        <v>237</v>
      </c>
      <c r="C10" s="7" t="s">
        <v>238</v>
      </c>
      <c r="D10" s="23" t="n">
        <v>21.73</v>
      </c>
      <c r="E10" s="23" t="n">
        <v>19.63</v>
      </c>
      <c r="F10" s="43" t="n">
        <v>20.5</v>
      </c>
      <c r="G10" s="40"/>
      <c r="H10" s="24" t="n">
        <f aca="false">IF(D10="","",IF(G10&lt;&gt;"",D10-G10,D10-E10))</f>
        <v>2.1</v>
      </c>
      <c r="I10" s="41" t="n">
        <v>1</v>
      </c>
      <c r="J10" s="7" t="s">
        <v>155</v>
      </c>
      <c r="K10" s="7" t="s">
        <v>242</v>
      </c>
    </row>
    <row r="11" customFormat="false" ht="23.85" hidden="false" customHeight="false" outlineLevel="0" collapsed="false">
      <c r="A11" s="5" t="s">
        <v>243</v>
      </c>
      <c r="B11" s="5" t="s">
        <v>22</v>
      </c>
      <c r="C11" s="5" t="s">
        <v>244</v>
      </c>
      <c r="D11" s="17" t="n">
        <v>20.33</v>
      </c>
      <c r="E11" s="17" t="n">
        <v>18.75</v>
      </c>
      <c r="F11" s="37"/>
      <c r="G11" s="42"/>
      <c r="H11" s="18" t="n">
        <f aca="false">IF(D11="","",IF(G11&lt;&gt;"",D11-G11,D11-E11))</f>
        <v>1.58</v>
      </c>
      <c r="I11" s="38" t="n">
        <v>1</v>
      </c>
      <c r="J11" s="5" t="s">
        <v>155</v>
      </c>
      <c r="K11" s="5" t="s">
        <v>245</v>
      </c>
    </row>
    <row r="12" customFormat="false" ht="23.85" hidden="false" customHeight="false" outlineLevel="0" collapsed="false">
      <c r="A12" s="7" t="s">
        <v>203</v>
      </c>
      <c r="B12" s="7" t="s">
        <v>246</v>
      </c>
      <c r="C12" s="7" t="s">
        <v>247</v>
      </c>
      <c r="D12" s="23" t="n">
        <v>20.4</v>
      </c>
      <c r="E12" s="23" t="n">
        <v>19.43</v>
      </c>
      <c r="F12" s="43" t="n">
        <v>18.975</v>
      </c>
      <c r="G12" s="23" t="n">
        <v>18.67</v>
      </c>
      <c r="H12" s="24" t="n">
        <f aca="false">IF(D12="","",IF(G12&lt;&gt;"",D12-G12,D12-E12))</f>
        <v>1.73</v>
      </c>
      <c r="I12" s="41" t="n">
        <v>1</v>
      </c>
      <c r="J12" s="7" t="s">
        <v>155</v>
      </c>
      <c r="K12" s="7"/>
    </row>
    <row r="13" customFormat="false" ht="23.85" hidden="false" customHeight="false" outlineLevel="0" collapsed="false">
      <c r="A13" s="5" t="s">
        <v>206</v>
      </c>
      <c r="B13" s="5" t="s">
        <v>248</v>
      </c>
      <c r="C13" s="5" t="s">
        <v>249</v>
      </c>
      <c r="D13" s="17" t="n">
        <v>20.55</v>
      </c>
      <c r="E13" s="17" t="n">
        <v>19.15</v>
      </c>
      <c r="F13" s="37"/>
      <c r="G13" s="17" t="n">
        <v>18.85</v>
      </c>
      <c r="H13" s="18" t="n">
        <f aca="false">IF(D13="","",IF(G13&lt;&gt;"",D13-G13,D13-E13))</f>
        <v>1.7</v>
      </c>
      <c r="I13" s="38" t="n">
        <v>1</v>
      </c>
      <c r="J13" s="5" t="s">
        <v>155</v>
      </c>
      <c r="K13" s="5"/>
    </row>
    <row r="14" customFormat="false" ht="23.85" hidden="false" customHeight="false" outlineLevel="0" collapsed="false">
      <c r="A14" s="7" t="s">
        <v>201</v>
      </c>
      <c r="B14" s="7" t="s">
        <v>248</v>
      </c>
      <c r="C14" s="7" t="s">
        <v>249</v>
      </c>
      <c r="D14" s="23" t="n">
        <v>20.63</v>
      </c>
      <c r="E14" s="23" t="n">
        <v>19.3</v>
      </c>
      <c r="F14" s="39"/>
      <c r="G14" s="23" t="n">
        <v>19</v>
      </c>
      <c r="H14" s="24" t="n">
        <f aca="false">IF(D14="","",IF(G14&lt;&gt;"",D14-G14,D14-E14))</f>
        <v>1.63</v>
      </c>
      <c r="I14" s="41" t="n">
        <v>1</v>
      </c>
      <c r="J14" s="7" t="s">
        <v>155</v>
      </c>
      <c r="K14" s="7"/>
    </row>
    <row r="15" customFormat="false" ht="23.85" hidden="false" customHeight="false" outlineLevel="0" collapsed="false">
      <c r="A15" s="5" t="s">
        <v>199</v>
      </c>
      <c r="B15" s="5" t="s">
        <v>250</v>
      </c>
      <c r="C15" s="5" t="s">
        <v>247</v>
      </c>
      <c r="D15" s="17" t="n">
        <v>20.25</v>
      </c>
      <c r="E15" s="17" t="n">
        <v>19.28</v>
      </c>
      <c r="F15" s="44" t="n">
        <v>18.825</v>
      </c>
      <c r="G15" s="17" t="n">
        <v>18.52</v>
      </c>
      <c r="H15" s="18" t="n">
        <f aca="false">IF(D15="","",IF(G15&lt;&gt;"",D15-G15,D15-E15))</f>
        <v>1.73</v>
      </c>
      <c r="I15" s="38" t="n">
        <v>1</v>
      </c>
      <c r="J15" s="5" t="s">
        <v>155</v>
      </c>
      <c r="K15" s="5"/>
    </row>
    <row r="16" customFormat="false" ht="23.85" hidden="false" customHeight="false" outlineLevel="0" collapsed="false">
      <c r="A16" s="7" t="s">
        <v>194</v>
      </c>
      <c r="B16" s="7" t="s">
        <v>248</v>
      </c>
      <c r="C16" s="7" t="s">
        <v>249</v>
      </c>
      <c r="D16" s="23" t="n">
        <v>20.63</v>
      </c>
      <c r="E16" s="23" t="n">
        <v>19.3</v>
      </c>
      <c r="F16" s="39"/>
      <c r="G16" s="23" t="n">
        <v>19</v>
      </c>
      <c r="H16" s="24" t="n">
        <f aca="false">IF(D16="","",IF(G16&lt;&gt;"",D16-G16,D16-E16))</f>
        <v>1.63</v>
      </c>
      <c r="I16" s="41" t="n">
        <v>1</v>
      </c>
      <c r="J16" s="7" t="s">
        <v>155</v>
      </c>
      <c r="K16" s="7"/>
    </row>
    <row r="17" customFormat="false" ht="23.85" hidden="false" customHeight="false" outlineLevel="0" collapsed="false">
      <c r="A17" s="5" t="s">
        <v>191</v>
      </c>
      <c r="B17" s="5" t="s">
        <v>248</v>
      </c>
      <c r="C17" s="5" t="s">
        <v>249</v>
      </c>
      <c r="D17" s="17" t="n">
        <v>20.62</v>
      </c>
      <c r="E17" s="17" t="n">
        <v>19.6</v>
      </c>
      <c r="F17" s="37"/>
      <c r="G17" s="17" t="n">
        <v>19.1</v>
      </c>
      <c r="H17" s="18" t="n">
        <f aca="false">IF(D17="","",IF(G17&lt;&gt;"",D17-G17,D17-E17))</f>
        <v>1.52</v>
      </c>
      <c r="I17" s="38" t="n">
        <v>1</v>
      </c>
      <c r="J17" s="5" t="s">
        <v>155</v>
      </c>
      <c r="K17" s="5"/>
    </row>
    <row r="18" customFormat="false" ht="23.85" hidden="false" customHeight="false" outlineLevel="0" collapsed="false">
      <c r="A18" s="7" t="s">
        <v>93</v>
      </c>
      <c r="B18" s="7" t="s">
        <v>251</v>
      </c>
      <c r="C18" s="7" t="s">
        <v>247</v>
      </c>
      <c r="D18" s="23" t="n">
        <v>19.8</v>
      </c>
      <c r="E18" s="23" t="n">
        <v>19.53</v>
      </c>
      <c r="F18" s="43" t="n">
        <v>19.075</v>
      </c>
      <c r="G18" s="23" t="n">
        <v>18.27</v>
      </c>
      <c r="H18" s="24" t="n">
        <f aca="false">IF(D18="","",IF(G18&lt;&gt;"",D18-G18,D18-E18))</f>
        <v>1.53</v>
      </c>
      <c r="I18" s="41" t="n">
        <v>1</v>
      </c>
      <c r="J18" s="7" t="s">
        <v>155</v>
      </c>
      <c r="K18" s="7" t="s">
        <v>252</v>
      </c>
    </row>
    <row r="19" customFormat="false" ht="23.85" hidden="false" customHeight="false" outlineLevel="0" collapsed="false">
      <c r="A19" s="5" t="s">
        <v>210</v>
      </c>
      <c r="B19" s="5" t="s">
        <v>248</v>
      </c>
      <c r="C19" s="5" t="s">
        <v>249</v>
      </c>
      <c r="D19" s="17" t="n">
        <v>21.75</v>
      </c>
      <c r="E19" s="17" t="n">
        <v>20.35</v>
      </c>
      <c r="F19" s="37"/>
      <c r="G19" s="17" t="n">
        <v>20.05</v>
      </c>
      <c r="H19" s="18" t="n">
        <f aca="false">IF(D19="","",IF(G19&lt;&gt;"",D19-G19,D19-E19))</f>
        <v>1.7</v>
      </c>
      <c r="I19" s="38" t="n">
        <v>1</v>
      </c>
      <c r="J19" s="5" t="s">
        <v>155</v>
      </c>
      <c r="K19" s="5"/>
    </row>
    <row r="20" customFormat="false" ht="23.85" hidden="false" customHeight="false" outlineLevel="0" collapsed="false">
      <c r="A20" s="7" t="s">
        <v>181</v>
      </c>
      <c r="B20" s="7" t="s">
        <v>253</v>
      </c>
      <c r="C20" s="7" t="s">
        <v>247</v>
      </c>
      <c r="D20" s="23" t="n">
        <v>21.6</v>
      </c>
      <c r="E20" s="23" t="n">
        <v>20.33</v>
      </c>
      <c r="F20" s="43" t="n">
        <v>19.875</v>
      </c>
      <c r="G20" s="23" t="n">
        <v>19.58</v>
      </c>
      <c r="H20" s="24" t="n">
        <f aca="false">IF(D20="","",IF(G20&lt;&gt;"",D20-G20,D20-E20))</f>
        <v>2.02</v>
      </c>
      <c r="I20" s="41" t="n">
        <v>1</v>
      </c>
      <c r="J20" s="7" t="s">
        <v>155</v>
      </c>
      <c r="K20" s="7"/>
    </row>
    <row r="21" customFormat="false" ht="23.85" hidden="false" customHeight="false" outlineLevel="0" collapsed="false">
      <c r="A21" s="5" t="s">
        <v>179</v>
      </c>
      <c r="B21" s="5" t="s">
        <v>254</v>
      </c>
      <c r="C21" s="5" t="s">
        <v>247</v>
      </c>
      <c r="D21" s="17" t="n">
        <v>21.6</v>
      </c>
      <c r="E21" s="17" t="n">
        <v>20.33</v>
      </c>
      <c r="F21" s="44" t="n">
        <v>19.875</v>
      </c>
      <c r="G21" s="17" t="n">
        <v>19.58</v>
      </c>
      <c r="H21" s="18" t="n">
        <f aca="false">IF(D21="","",IF(G21&lt;&gt;"",D21-G21,D21-E21))</f>
        <v>2.02</v>
      </c>
      <c r="I21" s="38" t="n">
        <v>1</v>
      </c>
      <c r="J21" s="5" t="s">
        <v>155</v>
      </c>
      <c r="K21" s="5"/>
    </row>
    <row r="22" customFormat="false" ht="23.85" hidden="false" customHeight="false" outlineLevel="0" collapsed="false">
      <c r="A22" s="7" t="s">
        <v>16</v>
      </c>
      <c r="B22" s="7" t="s">
        <v>248</v>
      </c>
      <c r="C22" s="7" t="s">
        <v>249</v>
      </c>
      <c r="D22" s="23" t="n">
        <v>22</v>
      </c>
      <c r="E22" s="23" t="n">
        <v>21.4</v>
      </c>
      <c r="F22" s="39"/>
      <c r="G22" s="23" t="n">
        <v>20.9</v>
      </c>
      <c r="H22" s="24" t="n">
        <f aca="false">IF(D22="","",IF(G22&lt;&gt;"",D22-G22,D22-E22))</f>
        <v>1.1</v>
      </c>
      <c r="I22" s="41" t="n">
        <v>1</v>
      </c>
      <c r="J22" s="7" t="s">
        <v>155</v>
      </c>
      <c r="K22" s="7"/>
    </row>
    <row r="23" customFormat="false" ht="23.85" hidden="false" customHeight="false" outlineLevel="0" collapsed="false">
      <c r="A23" s="5" t="s">
        <v>26</v>
      </c>
      <c r="B23" s="5" t="s">
        <v>255</v>
      </c>
      <c r="C23" s="5" t="s">
        <v>256</v>
      </c>
      <c r="D23" s="17" t="n">
        <v>21.5</v>
      </c>
      <c r="E23" s="17" t="n">
        <v>20.7</v>
      </c>
      <c r="F23" s="37"/>
      <c r="G23" s="42"/>
      <c r="H23" s="18" t="n">
        <f aca="false">IF(D23="","",IF(G23&lt;&gt;"",D23-G23,D23-E23))</f>
        <v>0.800000000000001</v>
      </c>
      <c r="I23" s="38" t="n">
        <v>1</v>
      </c>
      <c r="J23" s="5" t="s">
        <v>155</v>
      </c>
      <c r="K23" s="5" t="s">
        <v>257</v>
      </c>
    </row>
    <row r="24" customFormat="false" ht="23.85" hidden="false" customHeight="false" outlineLevel="0" collapsed="false">
      <c r="A24" s="7" t="s">
        <v>258</v>
      </c>
      <c r="B24" s="7" t="s">
        <v>259</v>
      </c>
      <c r="C24" s="7" t="s">
        <v>260</v>
      </c>
      <c r="D24" s="40"/>
      <c r="E24" s="40"/>
      <c r="F24" s="39"/>
      <c r="G24" s="40"/>
      <c r="H24" s="24" t="str">
        <f aca="false">IF(D24="","",IF(G24&lt;&gt;"",D24-G24,D24-E24))</f>
        <v/>
      </c>
      <c r="I24" s="41" t="n">
        <v>1</v>
      </c>
      <c r="J24" s="7" t="s">
        <v>155</v>
      </c>
      <c r="K24" s="7" t="s">
        <v>261</v>
      </c>
    </row>
    <row r="25" customFormat="false" ht="15" hidden="false" customHeight="false" outlineLevel="0" collapsed="false">
      <c r="A25" s="29" t="s">
        <v>216</v>
      </c>
      <c r="B25" s="30"/>
      <c r="C25" s="30"/>
      <c r="D25" s="30"/>
      <c r="E25" s="30"/>
      <c r="F25" s="30"/>
      <c r="G25" s="30"/>
      <c r="H25" s="30"/>
      <c r="I25" s="31" t="n">
        <f aca="false">SUM(I5:I24)</f>
        <v>20</v>
      </c>
      <c r="J25" s="30"/>
      <c r="K25" s="30"/>
    </row>
    <row r="27" customFormat="false" ht="15" hidden="false" customHeight="false" outlineLevel="0" collapsed="false">
      <c r="A27" s="32" t="s">
        <v>262</v>
      </c>
    </row>
    <row r="28" customFormat="false" ht="15" hidden="false" customHeight="false" outlineLevel="0" collapsed="false">
      <c r="A28" s="33" t="s">
        <v>263</v>
      </c>
      <c r="I28" s="45" t="n">
        <f aca="false">COUNTIF(C5:C24,"M-1600*")+COUNTIF(C5:C24,"M-900*")</f>
        <v>6</v>
      </c>
    </row>
    <row r="29" customFormat="false" ht="15" hidden="false" customHeight="false" outlineLevel="0" collapsed="false">
      <c r="A29" s="33" t="s">
        <v>264</v>
      </c>
      <c r="I29" s="45" t="n">
        <f aca="false">COUNTIF(C5:C24,"Ø 1200 avec raccord*")</f>
        <v>5</v>
      </c>
    </row>
    <row r="30" customFormat="false" ht="15" hidden="false" customHeight="false" outlineLevel="0" collapsed="false">
      <c r="A30" s="33" t="s">
        <v>24</v>
      </c>
      <c r="I30" s="45" t="n">
        <f aca="false">COUNTIF(C5:C24,"P-1 (P-600)*")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6"/>
    <col collapsed="false" customWidth="true" hidden="false" outlineLevel="0" max="6" min="6" style="0" width="20"/>
    <col collapsed="false" customWidth="true" hidden="false" outlineLevel="0" max="7" min="7" style="0" width="52"/>
  </cols>
  <sheetData>
    <row r="1" customFormat="false" ht="17.35" hidden="false" customHeight="false" outlineLevel="0" collapsed="false">
      <c r="A1" s="10" t="s">
        <v>265</v>
      </c>
    </row>
    <row r="2" customFormat="false" ht="15" hidden="false" customHeight="false" outlineLevel="0" collapsed="false">
      <c r="A2" s="2" t="s">
        <v>266</v>
      </c>
    </row>
    <row r="4" customFormat="false" ht="31.5" hidden="false" customHeight="true" outlineLevel="0" collapsed="false">
      <c r="A4" s="4" t="s">
        <v>267</v>
      </c>
      <c r="B4" s="4" t="s">
        <v>138</v>
      </c>
      <c r="C4" s="4" t="s">
        <v>268</v>
      </c>
      <c r="D4" s="4" t="s">
        <v>140</v>
      </c>
      <c r="E4" s="4" t="s">
        <v>269</v>
      </c>
      <c r="F4" s="4" t="s">
        <v>149</v>
      </c>
      <c r="G4" s="4" t="s">
        <v>150</v>
      </c>
    </row>
    <row r="5" customFormat="false" ht="15" hidden="false" customHeight="false" outlineLevel="0" collapsed="false">
      <c r="A5" s="5" t="s">
        <v>270</v>
      </c>
      <c r="B5" s="11" t="n">
        <v>150</v>
      </c>
      <c r="C5" s="5" t="s">
        <v>271</v>
      </c>
      <c r="D5" s="15" t="n">
        <v>5.5</v>
      </c>
      <c r="E5" s="5" t="s">
        <v>272</v>
      </c>
      <c r="F5" s="5" t="s">
        <v>273</v>
      </c>
      <c r="G5" s="5" t="s">
        <v>274</v>
      </c>
    </row>
    <row r="6" customFormat="false" ht="23.85" hidden="false" customHeight="false" outlineLevel="0" collapsed="false">
      <c r="A6" s="7" t="s">
        <v>275</v>
      </c>
      <c r="B6" s="13" t="n">
        <v>150</v>
      </c>
      <c r="C6" s="7" t="s">
        <v>271</v>
      </c>
      <c r="D6" s="21" t="n">
        <v>8.1</v>
      </c>
      <c r="E6" s="7" t="s">
        <v>276</v>
      </c>
      <c r="F6" s="7" t="s">
        <v>273</v>
      </c>
      <c r="G6" s="7" t="s">
        <v>277</v>
      </c>
    </row>
    <row r="7" customFormat="false" ht="23.85" hidden="false" customHeight="false" outlineLevel="0" collapsed="false">
      <c r="A7" s="5" t="s">
        <v>278</v>
      </c>
      <c r="B7" s="11" t="n">
        <v>200</v>
      </c>
      <c r="C7" s="5" t="s">
        <v>279</v>
      </c>
      <c r="D7" s="15" t="n">
        <v>11.7</v>
      </c>
      <c r="E7" s="5" t="s">
        <v>280</v>
      </c>
      <c r="F7" s="5" t="s">
        <v>273</v>
      </c>
      <c r="G7" s="5" t="s">
        <v>281</v>
      </c>
    </row>
    <row r="8" customFormat="false" ht="15" hidden="false" customHeight="false" outlineLevel="0" collapsed="false">
      <c r="A8" s="29" t="s">
        <v>216</v>
      </c>
      <c r="B8" s="30"/>
      <c r="C8" s="30"/>
      <c r="D8" s="31" t="n">
        <f aca="false">SUM(D5:D7)</f>
        <v>25.3</v>
      </c>
      <c r="E8" s="30"/>
      <c r="F8" s="30"/>
      <c r="G8" s="30"/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1"/>
    <col collapsed="false" customWidth="true" hidden="false" outlineLevel="0" max="9" min="9" style="0" width="40"/>
    <col collapsed="false" customWidth="true" hidden="false" outlineLevel="0" max="10" min="10" style="0" width="44"/>
  </cols>
  <sheetData>
    <row r="1" customFormat="false" ht="17.35" hidden="false" customHeight="false" outlineLevel="0" collapsed="false">
      <c r="A1" s="10" t="s">
        <v>282</v>
      </c>
    </row>
    <row r="2" customFormat="false" ht="15" hidden="false" customHeight="false" outlineLevel="0" collapsed="false">
      <c r="A2" s="2" t="s">
        <v>283</v>
      </c>
    </row>
    <row r="4" customFormat="false" ht="31.5" hidden="false" customHeight="true" outlineLevel="0" collapsed="false">
      <c r="A4" s="4" t="s">
        <v>225</v>
      </c>
      <c r="B4" s="4" t="s">
        <v>284</v>
      </c>
      <c r="C4" s="4" t="s">
        <v>140</v>
      </c>
      <c r="D4" s="4" t="s">
        <v>285</v>
      </c>
      <c r="E4" s="4" t="s">
        <v>286</v>
      </c>
      <c r="F4" s="4" t="s">
        <v>287</v>
      </c>
      <c r="G4" s="4" t="s">
        <v>288</v>
      </c>
      <c r="H4" s="4" t="s">
        <v>289</v>
      </c>
      <c r="I4" s="4" t="s">
        <v>290</v>
      </c>
      <c r="J4" s="4" t="s">
        <v>150</v>
      </c>
    </row>
    <row r="5" customFormat="false" ht="35.05" hidden="false" customHeight="false" outlineLevel="0" collapsed="false">
      <c r="A5" s="5" t="s">
        <v>291</v>
      </c>
      <c r="B5" s="5" t="s">
        <v>292</v>
      </c>
      <c r="C5" s="46" t="n">
        <v>13.9</v>
      </c>
      <c r="D5" s="46" t="n">
        <v>8.5</v>
      </c>
      <c r="E5" s="6" t="n">
        <f aca="false">C5*D5</f>
        <v>118.15</v>
      </c>
      <c r="F5" s="15" t="n">
        <v>18.7</v>
      </c>
      <c r="G5" s="15" t="n">
        <v>8.5</v>
      </c>
      <c r="H5" s="6" t="n">
        <f aca="false">2*C5+D5+2*2.2</f>
        <v>40.7</v>
      </c>
      <c r="I5" s="5" t="s">
        <v>293</v>
      </c>
      <c r="J5" s="5" t="s">
        <v>294</v>
      </c>
    </row>
    <row r="6" customFormat="false" ht="23.85" hidden="false" customHeight="false" outlineLevel="0" collapsed="false">
      <c r="A6" s="7" t="s">
        <v>295</v>
      </c>
      <c r="B6" s="7" t="s">
        <v>296</v>
      </c>
      <c r="C6" s="47" t="n">
        <v>10.3</v>
      </c>
      <c r="D6" s="47" t="n">
        <v>5</v>
      </c>
      <c r="E6" s="8" t="n">
        <f aca="false">C6*D6</f>
        <v>51.5</v>
      </c>
      <c r="F6" s="21" t="n">
        <v>0</v>
      </c>
      <c r="G6" s="21" t="n">
        <v>0</v>
      </c>
      <c r="H6" s="8" t="n">
        <f aca="false">2*C6+D6</f>
        <v>25.6</v>
      </c>
      <c r="I6" s="7" t="s">
        <v>297</v>
      </c>
      <c r="J6" s="7" t="s">
        <v>298</v>
      </c>
    </row>
    <row r="7" customFormat="false" ht="23.85" hidden="false" customHeight="false" outlineLevel="0" collapsed="false">
      <c r="A7" s="5" t="s">
        <v>299</v>
      </c>
      <c r="B7" s="5" t="s">
        <v>300</v>
      </c>
      <c r="C7" s="46" t="n">
        <v>23.1</v>
      </c>
      <c r="D7" s="46" t="n">
        <v>0.5</v>
      </c>
      <c r="E7" s="6" t="n">
        <f aca="false">C7*D7</f>
        <v>11.55</v>
      </c>
      <c r="F7" s="15" t="n">
        <v>0</v>
      </c>
      <c r="G7" s="15" t="n">
        <v>23.2</v>
      </c>
      <c r="H7" s="6" t="n">
        <f aca="false">C7</f>
        <v>23.1</v>
      </c>
      <c r="I7" s="5" t="s">
        <v>301</v>
      </c>
      <c r="J7" s="5" t="s">
        <v>302</v>
      </c>
    </row>
    <row r="8" customFormat="false" ht="23.85" hidden="false" customHeight="false" outlineLevel="0" collapsed="false">
      <c r="A8" s="7" t="s">
        <v>303</v>
      </c>
      <c r="B8" s="7" t="s">
        <v>304</v>
      </c>
      <c r="C8" s="47" t="n">
        <v>25.2</v>
      </c>
      <c r="D8" s="47" t="n">
        <v>0.5</v>
      </c>
      <c r="E8" s="8" t="n">
        <f aca="false">C8*D8</f>
        <v>12.6</v>
      </c>
      <c r="F8" s="21" t="n">
        <v>0</v>
      </c>
      <c r="G8" s="21" t="n">
        <v>25.3</v>
      </c>
      <c r="H8" s="8" t="n">
        <f aca="false">C8</f>
        <v>25.2</v>
      </c>
      <c r="I8" s="7" t="s">
        <v>301</v>
      </c>
      <c r="J8" s="7" t="s">
        <v>305</v>
      </c>
    </row>
    <row r="9" customFormat="false" ht="15" hidden="false" customHeight="false" outlineLevel="0" collapsed="false">
      <c r="A9" s="29" t="s">
        <v>216</v>
      </c>
      <c r="B9" s="30"/>
      <c r="C9" s="30"/>
      <c r="D9" s="30"/>
      <c r="E9" s="31" t="n">
        <f aca="false">SUM(E5:E8)</f>
        <v>193.8</v>
      </c>
      <c r="F9" s="31" t="n">
        <f aca="false">SUM(F5:F8)</f>
        <v>18.7</v>
      </c>
      <c r="G9" s="31" t="n">
        <f aca="false">SUM(G5:G8)</f>
        <v>57</v>
      </c>
      <c r="H9" s="31" t="n">
        <f aca="false">SUM(H5:H8)</f>
        <v>114.6</v>
      </c>
      <c r="I9" s="30"/>
      <c r="J9" s="30"/>
    </row>
    <row r="11" customFormat="false" ht="15" hidden="false" customHeight="false" outlineLevel="0" collapsed="false">
      <c r="A11" s="2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0" t="s">
        <v>307</v>
      </c>
    </row>
    <row r="2" customFormat="false" ht="15" hidden="false" customHeight="false" outlineLevel="0" collapsed="false">
      <c r="A2" s="2" t="s">
        <v>308</v>
      </c>
    </row>
    <row r="4" customFormat="false" ht="31.5" hidden="false" customHeight="true" outlineLevel="0" collapsed="false">
      <c r="A4" s="4" t="s">
        <v>267</v>
      </c>
      <c r="B4" s="4" t="s">
        <v>4</v>
      </c>
      <c r="C4" s="4" t="s">
        <v>5</v>
      </c>
      <c r="D4" s="4" t="s">
        <v>309</v>
      </c>
      <c r="E4" s="4" t="s">
        <v>149</v>
      </c>
      <c r="F4" s="4" t="s">
        <v>150</v>
      </c>
    </row>
    <row r="5" customFormat="false" ht="15" hidden="false" customHeight="false" outlineLevel="0" collapsed="false">
      <c r="A5" s="5" t="s">
        <v>310</v>
      </c>
      <c r="B5" s="15" t="n">
        <v>8122.3</v>
      </c>
      <c r="C5" s="5" t="s">
        <v>35</v>
      </c>
      <c r="D5" s="5" t="s">
        <v>311</v>
      </c>
      <c r="E5" s="5" t="s">
        <v>312</v>
      </c>
      <c r="F5" s="5" t="s">
        <v>313</v>
      </c>
    </row>
    <row r="6" customFormat="false" ht="15" hidden="false" customHeight="false" outlineLevel="0" collapsed="false">
      <c r="A6" s="7" t="s">
        <v>314</v>
      </c>
      <c r="B6" s="21" t="n">
        <v>2400.2</v>
      </c>
      <c r="C6" s="7" t="s">
        <v>35</v>
      </c>
      <c r="D6" s="7" t="s">
        <v>315</v>
      </c>
      <c r="E6" s="7" t="s">
        <v>312</v>
      </c>
      <c r="F6" s="7" t="s">
        <v>316</v>
      </c>
    </row>
    <row r="7" customFormat="false" ht="15" hidden="false" customHeight="false" outlineLevel="0" collapsed="false">
      <c r="A7" s="5" t="s">
        <v>317</v>
      </c>
      <c r="B7" s="6" t="n">
        <f aca="false">B5*Paramètres!$B$23</f>
        <v>8506.16503112378</v>
      </c>
      <c r="C7" s="5" t="s">
        <v>35</v>
      </c>
      <c r="D7" s="5"/>
      <c r="E7" s="5" t="s">
        <v>207</v>
      </c>
      <c r="F7" s="5" t="s">
        <v>318</v>
      </c>
    </row>
    <row r="8" customFormat="false" ht="15" hidden="false" customHeight="false" outlineLevel="0" collapsed="false">
      <c r="A8" s="7" t="s">
        <v>319</v>
      </c>
      <c r="B8" s="8" t="n">
        <f aca="false">B6*Paramètres!$B$23</f>
        <v>2513.63496887622</v>
      </c>
      <c r="C8" s="7" t="s">
        <v>35</v>
      </c>
      <c r="D8" s="7"/>
      <c r="E8" s="7" t="s">
        <v>207</v>
      </c>
      <c r="F8" s="7"/>
    </row>
    <row r="9" customFormat="false" ht="15" hidden="false" customHeight="false" outlineLevel="0" collapsed="false">
      <c r="A9" s="5" t="s">
        <v>320</v>
      </c>
      <c r="B9" s="6" t="n">
        <f aca="false">B7*0.06*Paramètres!$B$14</f>
        <v>1224.88776448182</v>
      </c>
      <c r="C9" s="5" t="s">
        <v>42</v>
      </c>
      <c r="D9" s="5" t="s">
        <v>321</v>
      </c>
      <c r="E9" s="5" t="s">
        <v>322</v>
      </c>
      <c r="F9" s="5"/>
    </row>
    <row r="10" customFormat="false" ht="15" hidden="false" customHeight="false" outlineLevel="0" collapsed="false">
      <c r="A10" s="7" t="s">
        <v>323</v>
      </c>
      <c r="B10" s="8" t="n">
        <f aca="false">(B7*0.04+B8*0.065)*Paramètres!$B$14</f>
        <v>1208.71889813257</v>
      </c>
      <c r="C10" s="7" t="s">
        <v>42</v>
      </c>
      <c r="D10" s="7"/>
      <c r="E10" s="7" t="s">
        <v>322</v>
      </c>
      <c r="F10" s="7"/>
    </row>
    <row r="11" customFormat="false" ht="15" hidden="false" customHeight="false" outlineLevel="0" collapsed="false">
      <c r="A11" s="5" t="s">
        <v>324</v>
      </c>
      <c r="B11" s="6" t="n">
        <f aca="false">(B7+B8)*0.15</f>
        <v>1652.97</v>
      </c>
      <c r="C11" s="5" t="s">
        <v>31</v>
      </c>
      <c r="D11" s="5" t="s">
        <v>325</v>
      </c>
      <c r="E11" s="5" t="s">
        <v>322</v>
      </c>
      <c r="F11" s="5"/>
    </row>
    <row r="12" customFormat="false" ht="15" hidden="false" customHeight="false" outlineLevel="0" collapsed="false">
      <c r="A12" s="7" t="s">
        <v>326</v>
      </c>
      <c r="B12" s="8" t="n">
        <f aca="false">B7*0.45+B8*0.3</f>
        <v>4581.86475466857</v>
      </c>
      <c r="C12" s="7" t="s">
        <v>31</v>
      </c>
      <c r="D12" s="7" t="s">
        <v>327</v>
      </c>
      <c r="E12" s="7" t="s">
        <v>322</v>
      </c>
      <c r="F12" s="7"/>
    </row>
    <row r="13" customFormat="false" ht="23.85" hidden="false" customHeight="false" outlineLevel="0" collapsed="false">
      <c r="A13" s="5" t="s">
        <v>328</v>
      </c>
      <c r="B13" s="15" t="n">
        <v>1191</v>
      </c>
      <c r="C13" s="5" t="s">
        <v>8</v>
      </c>
      <c r="D13" s="5" t="s">
        <v>329</v>
      </c>
      <c r="E13" s="5" t="s">
        <v>330</v>
      </c>
      <c r="F13" s="5" t="s">
        <v>331</v>
      </c>
    </row>
    <row r="14" customFormat="false" ht="23.85" hidden="false" customHeight="false" outlineLevel="0" collapsed="false">
      <c r="A14" s="7" t="s">
        <v>332</v>
      </c>
      <c r="B14" s="21" t="n">
        <v>502.6</v>
      </c>
      <c r="C14" s="7" t="s">
        <v>8</v>
      </c>
      <c r="D14" s="7"/>
      <c r="E14" s="7" t="s">
        <v>330</v>
      </c>
      <c r="F14" s="7"/>
    </row>
    <row r="15" customFormat="false" ht="15" hidden="false" customHeight="false" outlineLevel="0" collapsed="false">
      <c r="A15" s="5" t="s">
        <v>333</v>
      </c>
      <c r="B15" s="15" t="n">
        <v>238</v>
      </c>
      <c r="C15" s="5" t="s">
        <v>8</v>
      </c>
      <c r="D15" s="5"/>
      <c r="E15" s="5" t="s">
        <v>330</v>
      </c>
      <c r="F15" s="5" t="s">
        <v>334</v>
      </c>
    </row>
    <row r="16" customFormat="false" ht="15" hidden="false" customHeight="false" outlineLevel="0" collapsed="false">
      <c r="A16" s="7" t="s">
        <v>335</v>
      </c>
      <c r="B16" s="21" t="n">
        <v>173.5</v>
      </c>
      <c r="C16" s="7" t="s">
        <v>8</v>
      </c>
      <c r="D16" s="7"/>
      <c r="E16" s="7" t="s">
        <v>330</v>
      </c>
      <c r="F16" s="7"/>
    </row>
    <row r="17" customFormat="false" ht="15" hidden="false" customHeight="false" outlineLevel="0" collapsed="false">
      <c r="A17" s="5" t="s">
        <v>336</v>
      </c>
      <c r="B17" s="15" t="n">
        <v>227.7</v>
      </c>
      <c r="C17" s="5" t="s">
        <v>8</v>
      </c>
      <c r="D17" s="5"/>
      <c r="E17" s="5" t="s">
        <v>330</v>
      </c>
      <c r="F17" s="5"/>
    </row>
    <row r="18" customFormat="false" ht="15" hidden="false" customHeight="false" outlineLevel="0" collapsed="false">
      <c r="A18" s="7" t="s">
        <v>337</v>
      </c>
      <c r="B18" s="21" t="n">
        <v>49.2</v>
      </c>
      <c r="C18" s="7" t="s">
        <v>8</v>
      </c>
      <c r="D18" s="7"/>
      <c r="E18" s="7" t="s">
        <v>330</v>
      </c>
      <c r="F18" s="7"/>
    </row>
    <row r="19" customFormat="false" ht="15" hidden="false" customHeight="false" outlineLevel="0" collapsed="false">
      <c r="A19" s="5" t="s">
        <v>338</v>
      </c>
      <c r="B19" s="15" t="n">
        <v>48.5</v>
      </c>
      <c r="C19" s="5" t="s">
        <v>8</v>
      </c>
      <c r="D19" s="5" t="s">
        <v>339</v>
      </c>
      <c r="E19" s="5" t="s">
        <v>340</v>
      </c>
      <c r="F19" s="5" t="s">
        <v>341</v>
      </c>
    </row>
    <row r="20" customFormat="false" ht="15" hidden="false" customHeight="false" outlineLevel="0" collapsed="false">
      <c r="A20" s="7" t="s">
        <v>342</v>
      </c>
      <c r="B20" s="21" t="n">
        <v>238.4</v>
      </c>
      <c r="C20" s="7" t="s">
        <v>35</v>
      </c>
      <c r="D20" s="7" t="s">
        <v>343</v>
      </c>
      <c r="E20" s="7" t="s">
        <v>330</v>
      </c>
      <c r="F20" s="7" t="s">
        <v>344</v>
      </c>
    </row>
    <row r="21" customFormat="false" ht="15" hidden="false" customHeight="false" outlineLevel="0" collapsed="false">
      <c r="A21" s="5" t="s">
        <v>345</v>
      </c>
      <c r="B21" s="15" t="n">
        <v>17</v>
      </c>
      <c r="C21" s="5" t="s">
        <v>35</v>
      </c>
      <c r="D21" s="5" t="s">
        <v>346</v>
      </c>
      <c r="E21" s="5" t="s">
        <v>340</v>
      </c>
      <c r="F21" s="5"/>
    </row>
    <row r="22" customFormat="false" ht="15" hidden="false" customHeight="false" outlineLevel="0" collapsed="false">
      <c r="A22" s="7" t="s">
        <v>347</v>
      </c>
      <c r="B22" s="21" t="n">
        <v>3777.2</v>
      </c>
      <c r="C22" s="7" t="s">
        <v>35</v>
      </c>
      <c r="D22" s="7" t="s">
        <v>348</v>
      </c>
      <c r="E22" s="7" t="s">
        <v>330</v>
      </c>
      <c r="F22" s="7" t="s">
        <v>349</v>
      </c>
    </row>
    <row r="23" customFormat="false" ht="15" hidden="false" customHeight="false" outlineLevel="0" collapsed="false">
      <c r="A23" s="5" t="s">
        <v>350</v>
      </c>
      <c r="B23" s="6" t="n">
        <f aca="false">B22*0.15</f>
        <v>566.58</v>
      </c>
      <c r="C23" s="5" t="s">
        <v>31</v>
      </c>
      <c r="D23" s="5"/>
      <c r="E23" s="5" t="s">
        <v>322</v>
      </c>
      <c r="F23" s="5"/>
    </row>
    <row r="24" customFormat="false" ht="23.85" hidden="false" customHeight="false" outlineLevel="0" collapsed="false">
      <c r="A24" s="7" t="s">
        <v>351</v>
      </c>
      <c r="B24" s="21" t="n">
        <v>1024.8</v>
      </c>
      <c r="C24" s="7" t="s">
        <v>35</v>
      </c>
      <c r="D24" s="7" t="s">
        <v>352</v>
      </c>
      <c r="E24" s="7" t="s">
        <v>353</v>
      </c>
      <c r="F24" s="7" t="s">
        <v>354</v>
      </c>
    </row>
    <row r="25" customFormat="false" ht="15" hidden="false" customHeight="false" outlineLevel="0" collapsed="false">
      <c r="A25" s="5" t="s">
        <v>355</v>
      </c>
      <c r="B25" s="6" t="n">
        <f aca="false">B24*0.5</f>
        <v>512.4</v>
      </c>
      <c r="C25" s="5" t="s">
        <v>31</v>
      </c>
      <c r="D25" s="5"/>
      <c r="E25" s="5" t="s">
        <v>207</v>
      </c>
      <c r="F25" s="5"/>
    </row>
    <row r="26" customFormat="false" ht="15" hidden="false" customHeight="false" outlineLevel="0" collapsed="false">
      <c r="A26" s="7" t="s">
        <v>356</v>
      </c>
      <c r="B26" s="8" t="n">
        <f aca="false">B24*0.1</f>
        <v>102.48</v>
      </c>
      <c r="C26" s="7" t="s">
        <v>31</v>
      </c>
      <c r="D26" s="7"/>
      <c r="E26" s="7" t="s">
        <v>207</v>
      </c>
      <c r="F26" s="7"/>
    </row>
    <row r="27" customFormat="false" ht="15" hidden="false" customHeight="false" outlineLevel="0" collapsed="false">
      <c r="A27" s="5" t="s">
        <v>357</v>
      </c>
      <c r="B27" s="6" t="n">
        <f aca="false">B24*0.45</f>
        <v>461.16</v>
      </c>
      <c r="C27" s="5" t="s">
        <v>31</v>
      </c>
      <c r="D27" s="5"/>
      <c r="E27" s="5" t="s">
        <v>207</v>
      </c>
      <c r="F27" s="5"/>
    </row>
    <row r="28" customFormat="false" ht="23.85" hidden="false" customHeight="false" outlineLevel="0" collapsed="false">
      <c r="A28" s="7" t="s">
        <v>358</v>
      </c>
      <c r="B28" s="21" t="n">
        <v>330</v>
      </c>
      <c r="C28" s="7" t="s">
        <v>8</v>
      </c>
      <c r="D28" s="7" t="s">
        <v>359</v>
      </c>
      <c r="E28" s="7" t="s">
        <v>207</v>
      </c>
      <c r="F28" s="7" t="s">
        <v>360</v>
      </c>
    </row>
    <row r="29" customFormat="false" ht="15" hidden="false" customHeight="false" outlineLevel="0" collapsed="false">
      <c r="A29" s="5" t="s">
        <v>361</v>
      </c>
      <c r="B29" s="6" t="n">
        <f aca="false">B28*(1*0.6-PI()*0.11^2)</f>
        <v>185.455620534216</v>
      </c>
      <c r="C29" s="5" t="s">
        <v>31</v>
      </c>
      <c r="D29" s="5"/>
      <c r="E29" s="5" t="s">
        <v>322</v>
      </c>
      <c r="F29" s="5"/>
    </row>
    <row r="30" customFormat="false" ht="15" hidden="false" customHeight="false" outlineLevel="0" collapsed="false">
      <c r="A30" s="7" t="s">
        <v>362</v>
      </c>
      <c r="B30" s="21" t="n">
        <v>36</v>
      </c>
      <c r="C30" s="7" t="s">
        <v>35</v>
      </c>
      <c r="D30" s="7" t="s">
        <v>363</v>
      </c>
      <c r="E30" s="7" t="s">
        <v>207</v>
      </c>
      <c r="F30" s="7" t="s">
        <v>364</v>
      </c>
    </row>
    <row r="31" customFormat="false" ht="23.85" hidden="false" customHeight="false" outlineLevel="0" collapsed="false">
      <c r="A31" s="5" t="s">
        <v>365</v>
      </c>
      <c r="B31" s="6" t="n">
        <f aca="false">305*Paramètres!$B$17+55*Paramètres!$B$18</f>
        <v>666.45</v>
      </c>
      <c r="C31" s="5" t="s">
        <v>35</v>
      </c>
      <c r="D31" s="5" t="s">
        <v>366</v>
      </c>
      <c r="E31" s="5" t="s">
        <v>207</v>
      </c>
      <c r="F31" s="5" t="s">
        <v>367</v>
      </c>
    </row>
    <row r="32" customFormat="false" ht="15" hidden="false" customHeight="false" outlineLevel="0" collapsed="false">
      <c r="A32" s="7" t="s">
        <v>368</v>
      </c>
      <c r="B32" s="21" t="n">
        <v>130</v>
      </c>
      <c r="C32" s="7" t="s">
        <v>8</v>
      </c>
      <c r="D32" s="7" t="s">
        <v>369</v>
      </c>
      <c r="E32" s="7" t="s">
        <v>207</v>
      </c>
      <c r="F32" s="7" t="s">
        <v>370</v>
      </c>
    </row>
    <row r="33" customFormat="false" ht="15" hidden="false" customHeight="false" outlineLevel="0" collapsed="false">
      <c r="A33" s="5" t="s">
        <v>371</v>
      </c>
      <c r="B33" s="15" t="n">
        <v>1</v>
      </c>
      <c r="C33" s="5" t="s">
        <v>372</v>
      </c>
      <c r="D33" s="5" t="s">
        <v>373</v>
      </c>
      <c r="E33" s="5" t="s">
        <v>353</v>
      </c>
      <c r="F33" s="5" t="s">
        <v>374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0" t="s">
        <v>375</v>
      </c>
    </row>
    <row r="2" customFormat="false" ht="15" hidden="false" customHeight="false" outlineLevel="0" collapsed="false">
      <c r="A2" s="2" t="s">
        <v>376</v>
      </c>
    </row>
    <row r="4" customFormat="false" ht="31.5" hidden="false" customHeight="true" outlineLevel="0" collapsed="false">
      <c r="A4" s="4" t="s">
        <v>267</v>
      </c>
      <c r="B4" s="4" t="s">
        <v>4</v>
      </c>
      <c r="C4" s="4" t="s">
        <v>5</v>
      </c>
      <c r="D4" s="4" t="s">
        <v>149</v>
      </c>
      <c r="E4" s="4" t="s">
        <v>150</v>
      </c>
    </row>
    <row r="5" customFormat="false" ht="15" hidden="false" customHeight="false" outlineLevel="0" collapsed="false">
      <c r="A5" s="5" t="s">
        <v>377</v>
      </c>
      <c r="B5" s="15" t="n">
        <v>48.5</v>
      </c>
      <c r="C5" s="5" t="s">
        <v>8</v>
      </c>
      <c r="D5" s="5" t="s">
        <v>273</v>
      </c>
      <c r="E5" s="5" t="s">
        <v>378</v>
      </c>
    </row>
    <row r="6" customFormat="false" ht="15" hidden="false" customHeight="false" outlineLevel="0" collapsed="false">
      <c r="A6" s="7" t="s">
        <v>379</v>
      </c>
      <c r="B6" s="21" t="n">
        <v>8.5</v>
      </c>
      <c r="C6" s="7" t="s">
        <v>8</v>
      </c>
      <c r="D6" s="7" t="s">
        <v>273</v>
      </c>
      <c r="E6" s="7"/>
    </row>
    <row r="7" customFormat="false" ht="15" hidden="false" customHeight="false" outlineLevel="0" collapsed="false">
      <c r="A7" s="5" t="s">
        <v>380</v>
      </c>
      <c r="B7" s="6" t="n">
        <f aca="false">SUM('Coupes de rue'!E5:F8)</f>
        <v>212.5</v>
      </c>
      <c r="C7" s="5" t="s">
        <v>35</v>
      </c>
      <c r="D7" s="5" t="s">
        <v>322</v>
      </c>
      <c r="E7" s="5" t="s">
        <v>381</v>
      </c>
    </row>
    <row r="8" customFormat="false" ht="15" hidden="false" customHeight="false" outlineLevel="0" collapsed="false">
      <c r="A8" s="7" t="s">
        <v>382</v>
      </c>
      <c r="B8" s="21" t="n">
        <v>41.3</v>
      </c>
      <c r="C8" s="7" t="s">
        <v>8</v>
      </c>
      <c r="D8" s="7" t="s">
        <v>273</v>
      </c>
      <c r="E8" s="7" t="s">
        <v>383</v>
      </c>
    </row>
    <row r="9" customFormat="false" ht="15" hidden="false" customHeight="false" outlineLevel="0" collapsed="false">
      <c r="A9" s="5" t="s">
        <v>384</v>
      </c>
      <c r="B9" s="15" t="n">
        <v>1</v>
      </c>
      <c r="C9" s="5" t="s">
        <v>372</v>
      </c>
      <c r="D9" s="5" t="s">
        <v>385</v>
      </c>
      <c r="E9" s="5" t="s">
        <v>386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1230"/>
    <pageSetUpPr fitToPage="true"/>
  </sheetPr>
  <dimension ref="A1:E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3" min="2" style="0" width="15"/>
    <col collapsed="false" customWidth="true" hidden="false" outlineLevel="0" max="4" min="4" style="0" width="30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0" t="s">
        <v>387</v>
      </c>
    </row>
    <row r="2" customFormat="false" ht="15" hidden="false" customHeight="false" outlineLevel="0" collapsed="false">
      <c r="A2" s="2" t="s">
        <v>388</v>
      </c>
    </row>
    <row r="4" customFormat="false" ht="31.5" hidden="false" customHeight="true" outlineLevel="0" collapsed="false">
      <c r="A4" s="4" t="s">
        <v>3</v>
      </c>
      <c r="B4" s="4" t="s">
        <v>389</v>
      </c>
      <c r="C4" s="4" t="s">
        <v>390</v>
      </c>
      <c r="D4" s="4" t="s">
        <v>149</v>
      </c>
      <c r="E4" s="4" t="s">
        <v>391</v>
      </c>
    </row>
    <row r="5" customFormat="false" ht="15" hidden="false" customHeight="false" outlineLevel="0" collapsed="false">
      <c r="A5" s="5" t="s">
        <v>392</v>
      </c>
      <c r="B5" s="48" t="n">
        <v>134020.5</v>
      </c>
      <c r="C5" s="49"/>
      <c r="D5" s="5" t="s">
        <v>393</v>
      </c>
      <c r="E5" s="5" t="s">
        <v>394</v>
      </c>
    </row>
    <row r="6" customFormat="false" ht="15" hidden="false" customHeight="false" outlineLevel="0" collapsed="false">
      <c r="A6" s="7" t="s">
        <v>395</v>
      </c>
      <c r="B6" s="50" t="n">
        <v>12364</v>
      </c>
      <c r="C6" s="51"/>
      <c r="D6" s="7" t="s">
        <v>393</v>
      </c>
      <c r="E6" s="7"/>
    </row>
    <row r="7" customFormat="false" ht="15" hidden="false" customHeight="false" outlineLevel="0" collapsed="false">
      <c r="A7" s="5" t="s">
        <v>396</v>
      </c>
      <c r="B7" s="48" t="n">
        <v>29778.8</v>
      </c>
      <c r="C7" s="49"/>
      <c r="D7" s="5" t="s">
        <v>397</v>
      </c>
      <c r="E7" s="5" t="s">
        <v>398</v>
      </c>
    </row>
    <row r="8" customFormat="false" ht="23.85" hidden="false" customHeight="false" outlineLevel="0" collapsed="false">
      <c r="A8" s="7" t="s">
        <v>399</v>
      </c>
      <c r="B8" s="52" t="n">
        <v>2966</v>
      </c>
      <c r="C8" s="53"/>
      <c r="D8" s="7" t="s">
        <v>400</v>
      </c>
      <c r="E8" s="7" t="s">
        <v>401</v>
      </c>
    </row>
    <row r="9" customFormat="false" ht="15" hidden="false" customHeight="false" outlineLevel="0" collapsed="false">
      <c r="A9" s="5" t="s">
        <v>402</v>
      </c>
      <c r="B9" s="48" t="n">
        <v>13021.6</v>
      </c>
      <c r="C9" s="49"/>
      <c r="D9" s="5" t="s">
        <v>397</v>
      </c>
      <c r="E9" s="5" t="s">
        <v>403</v>
      </c>
    </row>
    <row r="10" customFormat="false" ht="15" hidden="false" customHeight="false" outlineLevel="0" collapsed="false">
      <c r="A10" s="7" t="s">
        <v>404</v>
      </c>
      <c r="B10" s="50" t="n">
        <v>44263.33</v>
      </c>
      <c r="C10" s="51"/>
      <c r="D10" s="7" t="s">
        <v>405</v>
      </c>
      <c r="E10" s="7" t="s">
        <v>406</v>
      </c>
    </row>
    <row r="11" customFormat="false" ht="15" hidden="false" customHeight="false" outlineLevel="0" collapsed="false">
      <c r="A11" s="5" t="s">
        <v>407</v>
      </c>
      <c r="B11" s="52" t="n">
        <v>2248</v>
      </c>
      <c r="C11" s="53"/>
      <c r="D11" s="5" t="s">
        <v>408</v>
      </c>
      <c r="E11" s="5"/>
    </row>
    <row r="12" customFormat="false" ht="15" hidden="false" customHeight="false" outlineLevel="0" collapsed="false">
      <c r="A12" s="7" t="s">
        <v>409</v>
      </c>
      <c r="B12" s="52" t="n">
        <v>15163</v>
      </c>
      <c r="C12" s="53"/>
      <c r="D12" s="7" t="s">
        <v>410</v>
      </c>
      <c r="E12" s="7" t="s">
        <v>411</v>
      </c>
    </row>
    <row r="13" customFormat="false" ht="15" hidden="false" customHeight="false" outlineLevel="0" collapsed="false">
      <c r="A13" s="5" t="s">
        <v>412</v>
      </c>
      <c r="B13" s="48" t="n">
        <v>18580.84</v>
      </c>
      <c r="C13" s="49"/>
      <c r="D13" s="5" t="s">
        <v>413</v>
      </c>
      <c r="E13" s="5" t="s">
        <v>414</v>
      </c>
    </row>
    <row r="14" customFormat="false" ht="15" hidden="false" customHeight="false" outlineLevel="0" collapsed="false">
      <c r="A14" s="7" t="s">
        <v>415</v>
      </c>
      <c r="B14" s="52" t="n">
        <v>3300</v>
      </c>
      <c r="C14" s="53"/>
      <c r="D14" s="7" t="s">
        <v>400</v>
      </c>
      <c r="E14" s="7" t="s">
        <v>416</v>
      </c>
    </row>
    <row r="15" customFormat="false" ht="15" hidden="false" customHeight="false" outlineLevel="0" collapsed="false">
      <c r="A15" s="5" t="s">
        <v>417</v>
      </c>
      <c r="B15" s="54" t="n">
        <f aca="false">-B5*Paramètres!$B$19</f>
        <v>-40206.15</v>
      </c>
      <c r="C15" s="49"/>
      <c r="D15" s="5" t="s">
        <v>418</v>
      </c>
      <c r="E15" s="5" t="s">
        <v>419</v>
      </c>
    </row>
    <row r="16" customFormat="false" ht="15" hidden="false" customHeight="false" outlineLevel="0" collapsed="false">
      <c r="A16" s="7" t="s">
        <v>420</v>
      </c>
      <c r="B16" s="55" t="n">
        <f aca="false">-(B7+B8)*Paramètres!$B$20</f>
        <v>-9823.44</v>
      </c>
      <c r="C16" s="51"/>
      <c r="D16" s="7" t="s">
        <v>418</v>
      </c>
      <c r="E16" s="7"/>
    </row>
    <row r="17" customFormat="false" ht="15" hidden="false" customHeight="false" outlineLevel="0" collapsed="false">
      <c r="A17" s="5" t="s">
        <v>421</v>
      </c>
      <c r="B17" s="54" t="n">
        <f aca="false">-(B10-1124)*Paramètres!$B$21</f>
        <v>-6470.8995</v>
      </c>
      <c r="C17" s="49"/>
      <c r="D17" s="5" t="s">
        <v>418</v>
      </c>
      <c r="E17" s="5" t="s">
        <v>422</v>
      </c>
    </row>
    <row r="18" customFormat="false" ht="15" hidden="false" customHeight="false" outlineLevel="0" collapsed="false">
      <c r="A18" s="7" t="s">
        <v>423</v>
      </c>
      <c r="B18" s="55" t="n">
        <f aca="false">-B9*Paramètres!$B$22</f>
        <v>-0</v>
      </c>
      <c r="C18" s="51"/>
      <c r="D18" s="7" t="s">
        <v>418</v>
      </c>
      <c r="E18" s="7" t="s">
        <v>424</v>
      </c>
    </row>
    <row r="19" customFormat="false" ht="15" hidden="false" customHeight="false" outlineLevel="0" collapsed="false">
      <c r="A19" s="5" t="s">
        <v>425</v>
      </c>
      <c r="B19" s="48" t="n">
        <v>1565.86</v>
      </c>
      <c r="C19" s="48" t="n">
        <v>1565.86</v>
      </c>
      <c r="D19" s="5" t="s">
        <v>426</v>
      </c>
      <c r="E19" s="5" t="s">
        <v>427</v>
      </c>
    </row>
    <row r="20" customFormat="false" ht="23.85" hidden="false" customHeight="false" outlineLevel="0" collapsed="false">
      <c r="A20" s="7" t="s">
        <v>428</v>
      </c>
      <c r="B20" s="51"/>
      <c r="C20" s="50" t="n">
        <v>112631.55</v>
      </c>
      <c r="D20" s="7" t="s">
        <v>429</v>
      </c>
      <c r="E20" s="7" t="s">
        <v>430</v>
      </c>
    </row>
    <row r="21" customFormat="false" ht="15" hidden="false" customHeight="false" outlineLevel="0" collapsed="false">
      <c r="A21" s="5" t="s">
        <v>431</v>
      </c>
      <c r="B21" s="49"/>
      <c r="C21" s="48" t="n">
        <v>9678.84</v>
      </c>
      <c r="D21" s="5" t="s">
        <v>429</v>
      </c>
      <c r="E21" s="5" t="s">
        <v>432</v>
      </c>
    </row>
    <row r="22" customFormat="false" ht="15" hidden="false" customHeight="false" outlineLevel="0" collapsed="false">
      <c r="A22" s="7" t="s">
        <v>433</v>
      </c>
      <c r="B22" s="51"/>
      <c r="C22" s="50" t="n">
        <v>50300</v>
      </c>
      <c r="D22" s="7" t="s">
        <v>429</v>
      </c>
      <c r="E22" s="7" t="s">
        <v>434</v>
      </c>
    </row>
    <row r="23" customFormat="false" ht="15" hidden="false" customHeight="false" outlineLevel="0" collapsed="false">
      <c r="A23" s="5" t="s">
        <v>435</v>
      </c>
      <c r="B23" s="49"/>
      <c r="C23" s="48" t="n">
        <v>327.46</v>
      </c>
      <c r="D23" s="5" t="s">
        <v>429</v>
      </c>
      <c r="E23" s="5"/>
    </row>
    <row r="24" customFormat="false" ht="15" hidden="false" customHeight="false" outlineLevel="0" collapsed="false">
      <c r="A24" s="7" t="s">
        <v>436</v>
      </c>
      <c r="B24" s="51"/>
      <c r="C24" s="50" t="n">
        <v>3272.08</v>
      </c>
      <c r="D24" s="7" t="s">
        <v>429</v>
      </c>
      <c r="E24" s="7" t="s">
        <v>437</v>
      </c>
    </row>
    <row r="25" customFormat="false" ht="15" hidden="false" customHeight="false" outlineLevel="0" collapsed="false">
      <c r="A25" s="5" t="s">
        <v>438</v>
      </c>
      <c r="B25" s="49"/>
      <c r="C25" s="48" t="n">
        <v>14067.3</v>
      </c>
      <c r="D25" s="5" t="s">
        <v>429</v>
      </c>
      <c r="E25" s="5" t="s">
        <v>439</v>
      </c>
    </row>
    <row r="26" customFormat="false" ht="15" hidden="false" customHeight="false" outlineLevel="0" collapsed="false">
      <c r="A26" s="7" t="s">
        <v>440</v>
      </c>
      <c r="B26" s="53"/>
      <c r="C26" s="52" t="n">
        <v>1723</v>
      </c>
      <c r="D26" s="7" t="s">
        <v>400</v>
      </c>
      <c r="E26" s="7" t="s">
        <v>441</v>
      </c>
    </row>
    <row r="27" customFormat="false" ht="15" hidden="false" customHeight="false" outlineLevel="0" collapsed="false">
      <c r="A27" s="5" t="s">
        <v>442</v>
      </c>
      <c r="B27" s="53"/>
      <c r="C27" s="52" t="n">
        <v>4965</v>
      </c>
      <c r="D27" s="5" t="s">
        <v>410</v>
      </c>
      <c r="E27" s="5" t="s">
        <v>443</v>
      </c>
    </row>
    <row r="28" customFormat="false" ht="15" hidden="false" customHeight="false" outlineLevel="0" collapsed="false">
      <c r="A28" s="7" t="s">
        <v>444</v>
      </c>
      <c r="B28" s="51"/>
      <c r="C28" s="50" t="n">
        <v>4025</v>
      </c>
      <c r="D28" s="7" t="s">
        <v>429</v>
      </c>
      <c r="E28" s="7"/>
    </row>
    <row r="29" customFormat="false" ht="15" hidden="false" customHeight="false" outlineLevel="0" collapsed="false">
      <c r="A29" s="29" t="s">
        <v>445</v>
      </c>
      <c r="B29" s="56" t="n">
        <f aca="false">SUM(B5:B28)</f>
        <v>220771.4405</v>
      </c>
      <c r="C29" s="56" t="n">
        <f aca="false">SUM(C5:C28)</f>
        <v>202556.09</v>
      </c>
      <c r="D29" s="30"/>
      <c r="E29" s="30"/>
    </row>
    <row r="31" customFormat="false" ht="15" hidden="false" customHeight="false" outlineLevel="0" collapsed="false">
      <c r="A31" s="32" t="s">
        <v>446</v>
      </c>
    </row>
    <row r="32" customFormat="false" ht="15" hidden="false" customHeight="false" outlineLevel="0" collapsed="false">
      <c r="A32" s="5" t="s">
        <v>447</v>
      </c>
      <c r="B32" s="57" t="n">
        <f aca="false">(Paramètres!$B$9+Paramètres!$B$7)*Paramètres!$B$6+(Paramètres!$B$9+Paramètres!$B$7)*Paramètres!$B$9/2-PI()*Paramètres!$B$9^2/8</f>
        <v>1.07848007604029</v>
      </c>
      <c r="C32" s="57" t="n">
        <f aca="false">(Paramètres!$B$10+Paramètres!$B$7)*Paramètres!$B$6+(Paramètres!$B$10+Paramètres!$B$7)*(Paramètres!$B$10+Paramètres!$B$8)-PI()*Paramètres!$B$10^2/4</f>
        <v>2.20910071097539</v>
      </c>
      <c r="D32" s="5" t="s">
        <v>448</v>
      </c>
      <c r="E32" s="5" t="s">
        <v>449</v>
      </c>
    </row>
    <row r="33" customFormat="false" ht="15" hidden="false" customHeight="false" outlineLevel="0" collapsed="false">
      <c r="A33" s="7" t="s">
        <v>450</v>
      </c>
      <c r="B33" s="26" t="n">
        <f aca="false">B32*SUMIFS('Pluvial – conduites'!F5:F25,'Pluvial – conduites'!D5:D25,900)*Paramètres!$B$13</f>
        <v>836.124033352515</v>
      </c>
      <c r="C33" s="26" t="n">
        <f aca="false">C32*SUMIFS('Pluvial – conduites'!F5:F25,'Pluvial – conduites'!D5:D25,900)*Paramètres!$B$13</f>
        <v>1712.671599205</v>
      </c>
      <c r="D33" s="7" t="s">
        <v>322</v>
      </c>
      <c r="E33" s="7"/>
    </row>
    <row r="34" customFormat="false" ht="15" hidden="false" customHeight="false" outlineLevel="0" collapsed="false">
      <c r="A34" s="5" t="s">
        <v>451</v>
      </c>
      <c r="B34" s="58"/>
      <c r="C34" s="59"/>
      <c r="D34" s="5" t="s">
        <v>452</v>
      </c>
      <c r="E34" s="5" t="s">
        <v>453</v>
      </c>
    </row>
    <row r="35" customFormat="false" ht="15" hidden="false" customHeight="false" outlineLevel="0" collapsed="false">
      <c r="A35" s="7" t="s">
        <v>454</v>
      </c>
      <c r="B35" s="55" t="str">
        <f aca="false">IF($B$34="","",B33*$B$34)</f>
        <v/>
      </c>
      <c r="C35" s="55" t="str">
        <f aca="false">IF($B$34="","",C33*$B$34)</f>
        <v/>
      </c>
      <c r="D35" s="7" t="s">
        <v>322</v>
      </c>
      <c r="E35" s="7"/>
    </row>
    <row r="36" customFormat="false" ht="15" hidden="false" customHeight="false" outlineLevel="0" collapsed="false">
      <c r="A36" s="5" t="s">
        <v>455</v>
      </c>
      <c r="B36" s="58"/>
      <c r="C36" s="58"/>
      <c r="D36" s="5" t="s">
        <v>452</v>
      </c>
      <c r="E36" s="5" t="s">
        <v>456</v>
      </c>
    </row>
    <row r="37" customFormat="false" ht="15" hidden="false" customHeight="false" outlineLevel="0" collapsed="false">
      <c r="A37" s="7" t="s">
        <v>457</v>
      </c>
      <c r="B37" s="58"/>
      <c r="C37" s="58"/>
      <c r="D37" s="7" t="s">
        <v>452</v>
      </c>
      <c r="E37" s="7" t="s">
        <v>458</v>
      </c>
    </row>
    <row r="38" customFormat="false" ht="15" hidden="false" customHeight="false" outlineLevel="0" collapsed="false">
      <c r="A38" s="5" t="s">
        <v>459</v>
      </c>
      <c r="B38" s="54" t="str">
        <f aca="false">IF(OR(B36="",B37=""),"",SUMIFS('Pluvial – conduites'!F5:F25,'Pluvial – conduites'!D5:D25,900)/B36*B37)</f>
        <v/>
      </c>
      <c r="C38" s="54" t="str">
        <f aca="false">IF(OR(C36="",C37=""),"",SUMIFS('Pluvial – conduites'!F5:F25,'Pluvial – conduites'!D5:D25,900)/C36*C37)</f>
        <v/>
      </c>
      <c r="D38" s="5" t="s">
        <v>322</v>
      </c>
      <c r="E38" s="5"/>
    </row>
    <row r="39" customFormat="false" ht="15" hidden="false" customHeight="false" outlineLevel="0" collapsed="false">
      <c r="A39" s="29" t="s">
        <v>460</v>
      </c>
      <c r="B39" s="56" t="n">
        <f aca="false">B29+N(B35)+N(B38)</f>
        <v>220771.4405</v>
      </c>
      <c r="C39" s="56" t="n">
        <f aca="false">C29+N(C35)+N(C38)</f>
        <v>202556.09</v>
      </c>
      <c r="D39" s="30"/>
      <c r="E39" s="30"/>
    </row>
    <row r="40" customFormat="false" ht="15" hidden="false" customHeight="false" outlineLevel="0" collapsed="false">
      <c r="A40" s="45" t="s">
        <v>461</v>
      </c>
      <c r="C40" s="60" t="n">
        <f aca="false">C39-B39</f>
        <v>-18215.3505</v>
      </c>
    </row>
    <row r="41" customFormat="false" ht="15" hidden="false" customHeight="false" outlineLevel="0" collapsed="false">
      <c r="A41" s="45" t="s">
        <v>462</v>
      </c>
      <c r="C41" s="61" t="n">
        <f aca="false">(B29-C29)/(C33-B33)</f>
        <v>20.7807895539413</v>
      </c>
    </row>
    <row r="43" customFormat="false" ht="15" hidden="false" customHeight="false" outlineLevel="0" collapsed="false">
      <c r="A43" s="2" t="s">
        <v>463</v>
      </c>
    </row>
    <row r="44" customFormat="false" ht="15" hidden="false" customHeight="false" outlineLevel="0" collapsed="false">
      <c r="A44" s="3" t="s">
        <v>464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0" t="s">
        <v>465</v>
      </c>
    </row>
    <row r="2" customFormat="false" ht="15" hidden="false" customHeight="false" outlineLevel="0" collapsed="false">
      <c r="A2" s="2" t="s">
        <v>466</v>
      </c>
    </row>
    <row r="4" customFormat="false" ht="31.5" hidden="false" customHeight="true" outlineLevel="0" collapsed="false">
      <c r="A4" s="4" t="s">
        <v>467</v>
      </c>
      <c r="B4" s="4" t="s">
        <v>468</v>
      </c>
      <c r="C4" s="4" t="s">
        <v>5</v>
      </c>
      <c r="D4" s="4" t="s">
        <v>469</v>
      </c>
    </row>
    <row r="5" customFormat="false" ht="15" hidden="false" customHeight="false" outlineLevel="0" collapsed="false">
      <c r="A5" s="5" t="s">
        <v>470</v>
      </c>
      <c r="B5" s="44" t="n">
        <v>0.2</v>
      </c>
      <c r="C5" s="5" t="s">
        <v>8</v>
      </c>
      <c r="D5" s="5" t="s">
        <v>471</v>
      </c>
    </row>
    <row r="6" customFormat="false" ht="15" hidden="false" customHeight="false" outlineLevel="0" collapsed="false">
      <c r="A6" s="7" t="s">
        <v>472</v>
      </c>
      <c r="B6" s="43" t="n">
        <v>0.225</v>
      </c>
      <c r="C6" s="7" t="s">
        <v>8</v>
      </c>
      <c r="D6" s="7" t="s">
        <v>471</v>
      </c>
    </row>
    <row r="7" customFormat="false" ht="15" hidden="false" customHeight="false" outlineLevel="0" collapsed="false">
      <c r="A7" s="5" t="s">
        <v>473</v>
      </c>
      <c r="B7" s="44" t="n">
        <v>0.9</v>
      </c>
      <c r="C7" s="5" t="s">
        <v>8</v>
      </c>
      <c r="D7" s="5" t="s">
        <v>474</v>
      </c>
    </row>
    <row r="8" customFormat="false" ht="15" hidden="false" customHeight="false" outlineLevel="0" collapsed="false">
      <c r="A8" s="7" t="s">
        <v>475</v>
      </c>
      <c r="B8" s="43" t="n">
        <v>0.3</v>
      </c>
      <c r="C8" s="7" t="s">
        <v>8</v>
      </c>
      <c r="D8" s="7" t="s">
        <v>476</v>
      </c>
    </row>
    <row r="9" customFormat="false" ht="15" hidden="false" customHeight="false" outlineLevel="0" collapsed="false">
      <c r="A9" s="5" t="s">
        <v>477</v>
      </c>
      <c r="B9" s="44" t="n">
        <v>1.104</v>
      </c>
      <c r="C9" s="5" t="s">
        <v>8</v>
      </c>
      <c r="D9" s="5" t="s">
        <v>478</v>
      </c>
    </row>
    <row r="10" customFormat="false" ht="15" hidden="false" customHeight="false" outlineLevel="0" collapsed="false">
      <c r="A10" s="7" t="s">
        <v>479</v>
      </c>
      <c r="B10" s="43" t="n">
        <v>1.052</v>
      </c>
      <c r="C10" s="7" t="s">
        <v>8</v>
      </c>
      <c r="D10" s="7" t="s">
        <v>480</v>
      </c>
    </row>
    <row r="11" customFormat="false" ht="15" hidden="false" customHeight="false" outlineLevel="0" collapsed="false">
      <c r="A11" s="5" t="s">
        <v>481</v>
      </c>
      <c r="B11" s="44" t="n">
        <v>0.315</v>
      </c>
      <c r="C11" s="5" t="s">
        <v>8</v>
      </c>
      <c r="D11" s="5" t="s">
        <v>482</v>
      </c>
    </row>
    <row r="12" customFormat="false" ht="15" hidden="false" customHeight="false" outlineLevel="0" collapsed="false">
      <c r="A12" s="7" t="s">
        <v>483</v>
      </c>
      <c r="B12" s="43" t="n">
        <v>0.475</v>
      </c>
      <c r="C12" s="7" t="s">
        <v>8</v>
      </c>
      <c r="D12" s="7" t="s">
        <v>482</v>
      </c>
    </row>
    <row r="13" customFormat="false" ht="15" hidden="false" customHeight="false" outlineLevel="0" collapsed="false">
      <c r="A13" s="5" t="s">
        <v>484</v>
      </c>
      <c r="B13" s="44" t="n">
        <v>2.2</v>
      </c>
      <c r="C13" s="5" t="s">
        <v>485</v>
      </c>
      <c r="D13" s="5" t="s">
        <v>486</v>
      </c>
    </row>
    <row r="14" customFormat="false" ht="15" hidden="false" customHeight="false" outlineLevel="0" collapsed="false">
      <c r="A14" s="7" t="s">
        <v>487</v>
      </c>
      <c r="B14" s="43" t="n">
        <v>2.4</v>
      </c>
      <c r="C14" s="7" t="s">
        <v>485</v>
      </c>
      <c r="D14" s="7" t="s">
        <v>486</v>
      </c>
    </row>
    <row r="15" customFormat="false" ht="15" hidden="false" customHeight="false" outlineLevel="0" collapsed="false">
      <c r="A15" s="5" t="s">
        <v>488</v>
      </c>
      <c r="B15" s="44" t="n">
        <v>1.25</v>
      </c>
      <c r="C15" s="5" t="s">
        <v>489</v>
      </c>
      <c r="D15" s="5" t="s">
        <v>490</v>
      </c>
    </row>
    <row r="16" customFormat="false" ht="15" hidden="false" customHeight="false" outlineLevel="0" collapsed="false">
      <c r="A16" s="7" t="s">
        <v>491</v>
      </c>
      <c r="B16" s="43" t="n">
        <v>1.2</v>
      </c>
      <c r="C16" s="7" t="s">
        <v>8</v>
      </c>
      <c r="D16" s="7" t="s">
        <v>492</v>
      </c>
    </row>
    <row r="17" customFormat="false" ht="15" hidden="false" customHeight="false" outlineLevel="0" collapsed="false">
      <c r="A17" s="5" t="s">
        <v>493</v>
      </c>
      <c r="B17" s="44" t="n">
        <v>1.92</v>
      </c>
      <c r="C17" s="5" t="s">
        <v>8</v>
      </c>
      <c r="D17" s="5" t="s">
        <v>494</v>
      </c>
    </row>
    <row r="18" customFormat="false" ht="15" hidden="false" customHeight="false" outlineLevel="0" collapsed="false">
      <c r="A18" s="7" t="s">
        <v>495</v>
      </c>
      <c r="B18" s="43" t="n">
        <v>1.47</v>
      </c>
      <c r="C18" s="7" t="s">
        <v>8</v>
      </c>
      <c r="D18" s="7" t="s">
        <v>494</v>
      </c>
    </row>
    <row r="19" customFormat="false" ht="15" hidden="false" customHeight="false" outlineLevel="0" collapsed="false">
      <c r="A19" s="5" t="s">
        <v>496</v>
      </c>
      <c r="B19" s="44" t="n">
        <v>0.3</v>
      </c>
      <c r="C19" s="5" t="s">
        <v>489</v>
      </c>
      <c r="D19" s="5" t="s">
        <v>497</v>
      </c>
    </row>
    <row r="20" customFormat="false" ht="15" hidden="false" customHeight="false" outlineLevel="0" collapsed="false">
      <c r="A20" s="7" t="s">
        <v>498</v>
      </c>
      <c r="B20" s="43" t="n">
        <v>0.3</v>
      </c>
      <c r="C20" s="7" t="s">
        <v>489</v>
      </c>
      <c r="D20" s="7" t="s">
        <v>497</v>
      </c>
    </row>
    <row r="21" customFormat="false" ht="23.85" hidden="false" customHeight="false" outlineLevel="0" collapsed="false">
      <c r="A21" s="5" t="s">
        <v>499</v>
      </c>
      <c r="B21" s="44" t="n">
        <v>0.15</v>
      </c>
      <c r="C21" s="5" t="s">
        <v>489</v>
      </c>
      <c r="D21" s="5" t="s">
        <v>497</v>
      </c>
    </row>
    <row r="22" customFormat="false" ht="15" hidden="false" customHeight="false" outlineLevel="0" collapsed="false">
      <c r="A22" s="7" t="s">
        <v>500</v>
      </c>
      <c r="B22" s="43" t="n">
        <v>0</v>
      </c>
      <c r="C22" s="7" t="s">
        <v>489</v>
      </c>
      <c r="D22" s="7" t="s">
        <v>501</v>
      </c>
    </row>
    <row r="23" customFormat="false" ht="15" hidden="false" customHeight="false" outlineLevel="0" collapsed="false">
      <c r="A23" s="5" t="s">
        <v>502</v>
      </c>
      <c r="B23" s="19" t="n">
        <f aca="false">11019.8/(8122.3+2400.2)</f>
        <v>1.04726063197909</v>
      </c>
      <c r="C23" s="5" t="s">
        <v>489</v>
      </c>
      <c r="D23" s="5" t="s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&amp;LLes Entreprises PEP2000 inc.&amp;C2026-10-13&amp;RPage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2026-10-13T16:20:50Z</dcterms:created>
  <dc:creator>openpyxl</dc:creator>
  <dc:description/>
  <dc:language>en-US</dc:language>
  <cp:lastModifiedBy/>
  <dcterms:modified xsi:type="dcterms:W3CDTF">2026-10-13T16:20:50Z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